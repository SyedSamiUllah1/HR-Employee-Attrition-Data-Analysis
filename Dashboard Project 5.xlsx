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PMLS\Desktop\BI Practice Data Set\"/>
    </mc:Choice>
  </mc:AlternateContent>
  <xr:revisionPtr revIDLastSave="0" documentId="13_ncr:1_{25BAD761-E45E-4C0E-8F84-CF0FC6AADC9A}" xr6:coauthVersionLast="47" xr6:coauthVersionMax="47" xr10:uidLastSave="{00000000-0000-0000-0000-000000000000}"/>
  <bookViews>
    <workbookView xWindow="-110" yWindow="-110" windowWidth="19420" windowHeight="10420" tabRatio="599" xr2:uid="{BBC5BF0C-7130-4B57-8C1E-A75CBE350A6B}"/>
  </bookViews>
  <sheets>
    <sheet name="Dashboard" sheetId="3" r:id="rId1"/>
    <sheet name="Report" sheetId="4" r:id="rId2"/>
    <sheet name="Pivot" sheetId="2" state="hidden" r:id="rId3"/>
  </sheets>
  <definedNames>
    <definedName name="Slicer_Department">#N/A</definedName>
    <definedName name="Slicer_EducationField">#N/A</definedName>
    <definedName name="Slicer_Gender">#N/A</definedName>
    <definedName name="Slicer_JobRole">#N/A</definedName>
    <definedName name="Slicer_MaritalStatus">#N/A</definedName>
    <definedName name="Slicer_OverTime">#N/A</definedName>
  </definedNames>
  <calcPr calcId="191029"/>
  <pivotCaches>
    <pivotCache cacheId="1224" r:id="rId4"/>
    <pivotCache cacheId="1227" r:id="rId5"/>
    <pivotCache cacheId="1230" r:id="rId6"/>
    <pivotCache cacheId="1233" r:id="rId7"/>
    <pivotCache cacheId="1236" r:id="rId8"/>
    <pivotCache cacheId="1239" r:id="rId9"/>
    <pivotCache cacheId="1242" r:id="rId10"/>
    <pivotCache cacheId="1245" r:id="rId11"/>
    <pivotCache cacheId="1248" r:id="rId12"/>
    <pivotCache cacheId="1251" r:id="rId13"/>
    <pivotCache cacheId="1254" r:id="rId14"/>
    <pivotCache cacheId="1257" r:id="rId15"/>
    <pivotCache cacheId="1260" r:id="rId16"/>
    <pivotCache cacheId="1263" r:id="rId17"/>
    <pivotCache cacheId="1266" r:id="rId18"/>
  </pivotCaches>
  <extLst>
    <ext xmlns:x14="http://schemas.microsoft.com/office/spreadsheetml/2009/9/main" uri="{876F7934-8845-4945-9796-88D515C7AA90}">
      <x14:pivotCaches>
        <pivotCache cacheId="15"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Employee-Attrition_4eb8b0b0-7975-46d1-bd15-74195a4994aa" name="HR-Employee-Attrition" connection="Query - HR-Employee-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2" l="1"/>
  <c r="G47" i="2"/>
  <c r="A46" i="2"/>
  <c r="J35" i="2"/>
  <c r="G3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8205F9-DA5B-4AA7-9269-BA2514AB511E}" name="Query - HR-Employee-Attrition" description="Connection to the 'HR-Employee-Attrition' query in the workbook." type="100" refreshedVersion="8" minRefreshableVersion="5">
    <extLst>
      <ext xmlns:x15="http://schemas.microsoft.com/office/spreadsheetml/2010/11/main" uri="{DE250136-89BD-433C-8126-D09CA5730AF9}">
        <x15:connection id="8f2fba0a-8858-473b-8bac-50764cd9536f"/>
      </ext>
    </extLst>
  </connection>
  <connection id="2" xr16:uid="{C2A5B42E-1017-4327-8A5D-949CAA3E5C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<sst xmlns="http://schemas.openxmlformats.org/spreadsheetml/2006/main" count="86" uniqueCount="60">
  <si>
    <t>Row Labels</t>
  </si>
  <si>
    <t>No</t>
  </si>
  <si>
    <t>Yes</t>
  </si>
  <si>
    <t>18-24</t>
  </si>
  <si>
    <t>25-32</t>
  </si>
  <si>
    <t>33-38</t>
  </si>
  <si>
    <t>39-44</t>
  </si>
  <si>
    <t>45-50</t>
  </si>
  <si>
    <t>51-54</t>
  </si>
  <si>
    <t>55-60</t>
  </si>
  <si>
    <t>Employees Left</t>
  </si>
  <si>
    <t>total employees</t>
  </si>
  <si>
    <t>Attrition Rate</t>
  </si>
  <si>
    <t>Attrition Rate by Age</t>
  </si>
  <si>
    <t>Human Resources</t>
  </si>
  <si>
    <t>Research &amp; Development</t>
  </si>
  <si>
    <t>Sales</t>
  </si>
  <si>
    <t>Female</t>
  </si>
  <si>
    <t>Male</t>
  </si>
  <si>
    <t>Attrition by Gender</t>
  </si>
  <si>
    <t>Divorced</t>
  </si>
  <si>
    <t>Married</t>
  </si>
  <si>
    <t>Single</t>
  </si>
  <si>
    <t>Attrition by Marital Status</t>
  </si>
  <si>
    <t>Overtime Analysis</t>
  </si>
  <si>
    <t>Attrition by Job Role</t>
  </si>
  <si>
    <t>Healthcare Representative</t>
  </si>
  <si>
    <t>Laboratory Technician</t>
  </si>
  <si>
    <t>Manager</t>
  </si>
  <si>
    <t>Manufacturing Director</t>
  </si>
  <si>
    <t>Research Director</t>
  </si>
  <si>
    <t>Research Scientist</t>
  </si>
  <si>
    <t>Sales Executive</t>
  </si>
  <si>
    <t>Sales Representative</t>
  </si>
  <si>
    <t>0 - 2,999</t>
  </si>
  <si>
    <t>12,000 - 14,999</t>
  </si>
  <si>
    <t>18,000 - 20,000</t>
  </si>
  <si>
    <t>3,000 - 5,999</t>
  </si>
  <si>
    <t>6,000 - 8,999</t>
  </si>
  <si>
    <t>9,000 - 11,999</t>
  </si>
  <si>
    <t>Bad</t>
  </si>
  <si>
    <t>Best</t>
  </si>
  <si>
    <t>Better</t>
  </si>
  <si>
    <t>Good</t>
  </si>
  <si>
    <t>Job Satisfaction vs Attrition</t>
  </si>
  <si>
    <t>Attrition by Years at Company</t>
  </si>
  <si>
    <t>0 - 2 Years</t>
  </si>
  <si>
    <t>11 - 15 Years</t>
  </si>
  <si>
    <t>16 - 20 Years</t>
  </si>
  <si>
    <t>20+ Years</t>
  </si>
  <si>
    <t>3 - 5 Years</t>
  </si>
  <si>
    <t>6 - 10 Years</t>
  </si>
  <si>
    <t>Total Employees</t>
  </si>
  <si>
    <t>Average Salary</t>
  </si>
  <si>
    <t>Average of MonthlyIncome</t>
  </si>
  <si>
    <t>Average Age</t>
  </si>
  <si>
    <t>Average of Age</t>
  </si>
  <si>
    <t>Department Attrition Rate</t>
  </si>
  <si>
    <t>Attrition Rate by Income Group</t>
  </si>
  <si>
    <t>Attrition Rate by Work-Life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</si>
</sst>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3" fontId="0" fillId="0" borderId="0" xfId="0" applyNumberFormat="1"/>
    <xf numFmtId="0" fontId="0" fillId="3" borderId="0" xfId="0" applyFill="1"/>
    <xf numFmtId="1" fontId="0" fillId="0" borderId="0" xfId="0" applyNumberFormat="1"/>
    <xf numFmtId="0" fontId="2" fillId="2" borderId="0" xfId="0" applyFont="1" applyFill="1" applyAlignment="1">
      <alignment horizontal="center"/>
    </xf>
    <xf numFmtId="0" fontId="3"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12">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
      <fill>
        <patternFill patternType="solid">
          <bgColor theme="0"/>
        </patternFill>
      </fill>
      <border>
        <left style="medium">
          <color theme="1"/>
        </left>
        <right style="medium">
          <color theme="1"/>
        </right>
        <top style="medium">
          <color theme="1"/>
        </top>
        <bottom style="medium">
          <color theme="1"/>
        </bottom>
      </border>
    </dxf>
    <dxf>
      <fill>
        <patternFill patternType="solid">
          <fgColor theme="0" tint="-0.24994659260841701"/>
          <bgColor theme="0" tint="-0.14996795556505021"/>
        </patternFill>
      </fill>
      <border>
        <left style="thick">
          <color auto="1"/>
        </left>
        <right style="thick">
          <color auto="1"/>
        </right>
        <top style="thick">
          <color auto="1"/>
        </top>
        <bottom style="thick">
          <color auto="1"/>
        </bottom>
      </border>
    </dxf>
    <dxf>
      <numFmt numFmtId="1" formatCode="0"/>
    </dxf>
    <dxf>
      <numFmt numFmtId="1" formatCode="0"/>
    </dxf>
  </dxfs>
  <tableStyles count="2" defaultTableStyle="TableStyleMedium2" defaultPivotStyle="PivotStyleLight16">
    <tableStyle name="Slicer Style 1" pivot="0" table="0" count="5" xr9:uid="{B0BD2623-CD73-494B-B34F-313BA97BC53B}">
      <tableStyleElement type="wholeTable" dxfId="9"/>
      <tableStyleElement type="headerRow" dxfId="8"/>
    </tableStyle>
    <tableStyle name="SlicerStyleLight1 2" pivot="0" table="0" count="10" xr9:uid="{1EAA92E0-FCAB-4A61-BA63-62B42ECA7ABD}">
      <tableStyleElement type="wholeTable" dxfId="7"/>
      <tableStyleElement type="headerRow" dxfId="6"/>
    </tableStyle>
  </tableStyles>
  <colors>
    <mruColors>
      <color rgb="FF0F172A"/>
      <color rgb="FFEEF2F7"/>
      <color rgb="FFF5F7FA"/>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bgColor theme="1"/>
            </patternFill>
          </fill>
        </dxf>
        <dxf>
          <font>
            <color theme="1"/>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haredStrings" Target="sharedStrings.xml"/><Relationship Id="rId11" Type="http://schemas.openxmlformats.org/officeDocument/2006/relationships/pivotCacheDefinition" Target="pivotCache/pivotCacheDefinition8.xml"/><Relationship Id="rId24" Type="http://schemas.microsoft.com/office/2007/relationships/slicerCache" Target="slicerCaches/slicerCache5.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pivotCacheDefinition" Target="pivotCache/pivotCacheDefinition2.xml"/><Relationship Id="rId61" Type="http://schemas.openxmlformats.org/officeDocument/2006/relationships/customXml" Target="../customXml/item30.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pivotCacheDefinition" Target="pivotCache/pivotCacheDefinition5.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6.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microsoft.com/office/2007/relationships/slicerCache" Target="slicerCaches/slicerCache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7.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5.xlsx]Pivot!Attrition by Department	</c:name>
    <c:fmtId val="21"/>
  </c:pivotSource>
  <c:chart>
    <c:title>
      <c:tx>
        <c:strRef>
          <c:f>Pivot!$G$2</c:f>
          <c:strCache>
            <c:ptCount val="1"/>
            <c:pt idx="0">
              <c:v>Department Attrition Rate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c:f>
              <c:strCache>
                <c:ptCount val="3"/>
                <c:pt idx="0">
                  <c:v>Human Resources</c:v>
                </c:pt>
                <c:pt idx="1">
                  <c:v>Research &amp; Development</c:v>
                </c:pt>
                <c:pt idx="2">
                  <c:v>Sales</c:v>
                </c:pt>
              </c:strCache>
            </c:strRef>
          </c:cat>
          <c:val>
            <c:numRef>
              <c:f>Pivot!$G$2</c:f>
              <c:numCache>
                <c:formatCode>0.00%;\-0.00%;0.00%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37BB-4430-82D1-06E1F9D03014}"/>
            </c:ext>
          </c:extLst>
        </c:ser>
        <c:dLbls>
          <c:dLblPos val="outEnd"/>
          <c:showLegendKey val="0"/>
          <c:showVal val="1"/>
          <c:showCatName val="0"/>
          <c:showSerName val="0"/>
          <c:showPercent val="0"/>
          <c:showBubbleSize val="0"/>
        </c:dLbls>
        <c:gapWidth val="219"/>
        <c:overlap val="-27"/>
        <c:axId val="46584351"/>
        <c:axId val="46593471"/>
      </c:barChart>
      <c:catAx>
        <c:axId val="4658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3471"/>
        <c:crosses val="autoZero"/>
        <c:auto val="1"/>
        <c:lblAlgn val="ctr"/>
        <c:lblOffset val="100"/>
        <c:noMultiLvlLbl val="0"/>
      </c:catAx>
      <c:valAx>
        <c:axId val="46593471"/>
        <c:scaling>
          <c:orientation val="minMax"/>
        </c:scaling>
        <c:delete val="1"/>
        <c:axPos val="l"/>
        <c:numFmt formatCode="0.00%;\-0.00%;0.00%" sourceLinked="1"/>
        <c:majorTickMark val="none"/>
        <c:minorTickMark val="none"/>
        <c:tickLblPos val="nextTo"/>
        <c:crossAx val="4658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5.xlsx]Pivot!Job Satisfaction vs Attrition	</c:name>
    <c:fmtId val="29"/>
  </c:pivotSource>
  <c:chart>
    <c:title>
      <c:tx>
        <c:strRef>
          <c:f>Pivot!$A$30</c:f>
          <c:strCache>
            <c:ptCount val="1"/>
            <c:pt idx="0">
              <c:v>Job Satisfaction vs Attrition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c:f>
              <c:strCache>
                <c:ptCount val="4"/>
                <c:pt idx="0">
                  <c:v>Bad</c:v>
                </c:pt>
                <c:pt idx="1">
                  <c:v>Best</c:v>
                </c:pt>
                <c:pt idx="2">
                  <c:v>Better</c:v>
                </c:pt>
                <c:pt idx="3">
                  <c:v>Good</c:v>
                </c:pt>
              </c:strCache>
            </c:strRef>
          </c:cat>
          <c:val>
            <c:numRef>
              <c:f>Pivot!$A$30</c:f>
              <c:numCache>
                <c:formatCode>0.00%;\-0.00%;0.00%</c:formatCode>
                <c:ptCount val="4"/>
                <c:pt idx="0">
                  <c:v>0.22837370242214533</c:v>
                </c:pt>
                <c:pt idx="1">
                  <c:v>0.11328976034858387</c:v>
                </c:pt>
                <c:pt idx="2">
                  <c:v>0.16515837104072398</c:v>
                </c:pt>
                <c:pt idx="3">
                  <c:v>0.16428571428571428</c:v>
                </c:pt>
              </c:numCache>
            </c:numRef>
          </c:val>
          <c:extLst>
            <c:ext xmlns:c16="http://schemas.microsoft.com/office/drawing/2014/chart" uri="{C3380CC4-5D6E-409C-BE32-E72D297353CC}">
              <c16:uniqueId val="{00000000-91FB-465D-86AB-E128EF49B8E0}"/>
            </c:ext>
          </c:extLst>
        </c:ser>
        <c:dLbls>
          <c:dLblPos val="outEnd"/>
          <c:showLegendKey val="0"/>
          <c:showVal val="1"/>
          <c:showCatName val="0"/>
          <c:showSerName val="0"/>
          <c:showPercent val="0"/>
          <c:showBubbleSize val="0"/>
        </c:dLbls>
        <c:gapWidth val="219"/>
        <c:overlap val="-27"/>
        <c:axId val="1635064592"/>
        <c:axId val="1635066032"/>
      </c:barChart>
      <c:catAx>
        <c:axId val="163506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66032"/>
        <c:crosses val="autoZero"/>
        <c:auto val="1"/>
        <c:lblAlgn val="ctr"/>
        <c:lblOffset val="100"/>
        <c:noMultiLvlLbl val="0"/>
      </c:catAx>
      <c:valAx>
        <c:axId val="1635066032"/>
        <c:scaling>
          <c:orientation val="minMax"/>
        </c:scaling>
        <c:delete val="1"/>
        <c:axPos val="l"/>
        <c:numFmt formatCode="0.00%;\-0.00%;0.00%" sourceLinked="1"/>
        <c:majorTickMark val="none"/>
        <c:minorTickMark val="none"/>
        <c:tickLblPos val="nextTo"/>
        <c:crossAx val="163506459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5.xlsx]Pivot!Attrition Rate by Age	</c:name>
    <c:fmtId val="37"/>
  </c:pivotSource>
  <c:chart>
    <c:title>
      <c:tx>
        <c:strRef>
          <c:f>Pivot!$A$2</c:f>
          <c:strCache>
            <c:ptCount val="1"/>
            <c:pt idx="0">
              <c:v>Attrition Rate by Age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c:f>
              <c:strCache>
                <c:ptCount val="7"/>
                <c:pt idx="0">
                  <c:v>18-24</c:v>
                </c:pt>
                <c:pt idx="1">
                  <c:v>25-32</c:v>
                </c:pt>
                <c:pt idx="2">
                  <c:v>33-38</c:v>
                </c:pt>
                <c:pt idx="3">
                  <c:v>39-44</c:v>
                </c:pt>
                <c:pt idx="4">
                  <c:v>45-50</c:v>
                </c:pt>
                <c:pt idx="5">
                  <c:v>51-54</c:v>
                </c:pt>
                <c:pt idx="6">
                  <c:v>55-60</c:v>
                </c:pt>
              </c:strCache>
            </c:strRef>
          </c:cat>
          <c:val>
            <c:numRef>
              <c:f>Pivot!$A$2</c:f>
              <c:numCache>
                <c:formatCode>0.00%;\-0.00%;0.00%</c:formatCode>
                <c:ptCount val="7"/>
                <c:pt idx="0">
                  <c:v>0.39175257731958762</c:v>
                </c:pt>
                <c:pt idx="1">
                  <c:v>0.21718377088305491</c:v>
                </c:pt>
                <c:pt idx="2">
                  <c:v>0.11538461538461539</c:v>
                </c:pt>
                <c:pt idx="3">
                  <c:v>0.108</c:v>
                </c:pt>
                <c:pt idx="4">
                  <c:v>0.10526315789473684</c:v>
                </c:pt>
                <c:pt idx="5">
                  <c:v>9.45945945945946E-2</c:v>
                </c:pt>
                <c:pt idx="6">
                  <c:v>0.15942028985507245</c:v>
                </c:pt>
              </c:numCache>
            </c:numRef>
          </c:val>
          <c:extLst>
            <c:ext xmlns:c16="http://schemas.microsoft.com/office/drawing/2014/chart" uri="{C3380CC4-5D6E-409C-BE32-E72D297353CC}">
              <c16:uniqueId val="{00000000-89EE-4B6B-8A5C-E26C5DDEB35B}"/>
            </c:ext>
          </c:extLst>
        </c:ser>
        <c:dLbls>
          <c:dLblPos val="outEnd"/>
          <c:showLegendKey val="0"/>
          <c:showVal val="1"/>
          <c:showCatName val="0"/>
          <c:showSerName val="0"/>
          <c:showPercent val="0"/>
          <c:showBubbleSize val="0"/>
        </c:dLbls>
        <c:gapWidth val="219"/>
        <c:overlap val="-27"/>
        <c:axId val="1200932960"/>
        <c:axId val="1200935360"/>
      </c:barChart>
      <c:catAx>
        <c:axId val="120093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35360"/>
        <c:crosses val="autoZero"/>
        <c:auto val="1"/>
        <c:lblAlgn val="ctr"/>
        <c:lblOffset val="100"/>
        <c:noMultiLvlLbl val="0"/>
      </c:catAx>
      <c:valAx>
        <c:axId val="1200935360"/>
        <c:scaling>
          <c:orientation val="minMax"/>
        </c:scaling>
        <c:delete val="1"/>
        <c:axPos val="l"/>
        <c:numFmt formatCode="0.00%;\-0.00%;0.00%" sourceLinked="1"/>
        <c:majorTickMark val="none"/>
        <c:minorTickMark val="none"/>
        <c:tickLblPos val="nextTo"/>
        <c:crossAx val="120093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5.xlsx]Pivot!WorkLifeBalance vs Attrition	</c:name>
    <c:fmtId val="31"/>
  </c:pivotSource>
  <c:chart>
    <c:title>
      <c:tx>
        <c:strRef>
          <c:f>Pivot!$J$13</c:f>
          <c:strCache>
            <c:ptCount val="1"/>
            <c:pt idx="0">
              <c:v>Attrition Rate by Work-Life Balance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Pivot!$J$13</c:f>
              <c:strCache>
                <c:ptCount val="4"/>
                <c:pt idx="0">
                  <c:v>Bad</c:v>
                </c:pt>
                <c:pt idx="1">
                  <c:v>Best</c:v>
                </c:pt>
                <c:pt idx="2">
                  <c:v>Better</c:v>
                </c:pt>
                <c:pt idx="3">
                  <c:v>Good</c:v>
                </c:pt>
              </c:strCache>
            </c:strRef>
          </c:cat>
          <c:val>
            <c:numRef>
              <c:f>Pivot!$J$13</c:f>
              <c:numCache>
                <c:formatCode>0.00%;\-0.00%;0.00%</c:formatCode>
                <c:ptCount val="4"/>
                <c:pt idx="0">
                  <c:v>0.3125</c:v>
                </c:pt>
                <c:pt idx="1">
                  <c:v>0.17647058823529413</c:v>
                </c:pt>
                <c:pt idx="2">
                  <c:v>0.14221724524076149</c:v>
                </c:pt>
                <c:pt idx="3">
                  <c:v>0.16860465116279069</c:v>
                </c:pt>
              </c:numCache>
            </c:numRef>
          </c:val>
          <c:extLst>
            <c:ext xmlns:c16="http://schemas.microsoft.com/office/drawing/2014/chart" uri="{C3380CC4-5D6E-409C-BE32-E72D297353CC}">
              <c16:uniqueId val="{00000000-C842-4263-94D5-CD33A14C3FE0}"/>
            </c:ext>
          </c:extLst>
        </c:ser>
        <c:dLbls>
          <c:dLblPos val="outEnd"/>
          <c:showLegendKey val="0"/>
          <c:showVal val="1"/>
          <c:showCatName val="0"/>
          <c:showSerName val="0"/>
          <c:showPercent val="0"/>
          <c:showBubbleSize val="0"/>
        </c:dLbls>
        <c:gapWidth val="219"/>
        <c:overlap val="-27"/>
        <c:axId val="223696047"/>
        <c:axId val="223695567"/>
      </c:barChart>
      <c:catAx>
        <c:axId val="22369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695567"/>
        <c:crosses val="autoZero"/>
        <c:auto val="1"/>
        <c:lblAlgn val="ctr"/>
        <c:lblOffset val="100"/>
        <c:noMultiLvlLbl val="0"/>
      </c:catAx>
      <c:valAx>
        <c:axId val="223695567"/>
        <c:scaling>
          <c:orientation val="minMax"/>
        </c:scaling>
        <c:delete val="1"/>
        <c:axPos val="l"/>
        <c:numFmt formatCode="0.00%;\-0.00%;0.00%" sourceLinked="1"/>
        <c:majorTickMark val="none"/>
        <c:minorTickMark val="none"/>
        <c:tickLblPos val="nextTo"/>
        <c:crossAx val="22369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5.xlsx]Pivot!Attrition by Gender	</c:name>
    <c:fmtId val="9"/>
  </c:pivotSource>
  <c:chart>
    <c:title>
      <c:tx>
        <c:strRef>
          <c:f>Pivot!$D$2</c:f>
          <c:strCache>
            <c:ptCount val="1"/>
            <c:pt idx="0">
              <c:v>Attrition by Gender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c:f>
              <c:strCache>
                <c:ptCount val="2"/>
                <c:pt idx="0">
                  <c:v>Female</c:v>
                </c:pt>
                <c:pt idx="1">
                  <c:v>Male</c:v>
                </c:pt>
              </c:strCache>
            </c:strRef>
          </c:cat>
          <c:val>
            <c:numRef>
              <c:f>Pivot!$D$2</c:f>
              <c:numCache>
                <c:formatCode>0.00%;\-0.00%;0.00%</c:formatCode>
                <c:ptCount val="2"/>
                <c:pt idx="0">
                  <c:v>0.14795918367346939</c:v>
                </c:pt>
                <c:pt idx="1">
                  <c:v>0.17006802721088435</c:v>
                </c:pt>
              </c:numCache>
            </c:numRef>
          </c:val>
          <c:extLst>
            <c:ext xmlns:c16="http://schemas.microsoft.com/office/drawing/2014/chart" uri="{C3380CC4-5D6E-409C-BE32-E72D297353CC}">
              <c16:uniqueId val="{00000000-1CB1-43F9-B5D6-C99241A09523}"/>
            </c:ext>
          </c:extLst>
        </c:ser>
        <c:dLbls>
          <c:dLblPos val="outEnd"/>
          <c:showLegendKey val="0"/>
          <c:showVal val="1"/>
          <c:showCatName val="0"/>
          <c:showSerName val="0"/>
          <c:showPercent val="0"/>
          <c:showBubbleSize val="0"/>
        </c:dLbls>
        <c:gapWidth val="182"/>
        <c:axId val="64701967"/>
        <c:axId val="1844403344"/>
      </c:barChart>
      <c:catAx>
        <c:axId val="6470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03344"/>
        <c:crosses val="autoZero"/>
        <c:auto val="1"/>
        <c:lblAlgn val="ctr"/>
        <c:lblOffset val="100"/>
        <c:noMultiLvlLbl val="0"/>
      </c:catAx>
      <c:valAx>
        <c:axId val="1844403344"/>
        <c:scaling>
          <c:orientation val="minMax"/>
        </c:scaling>
        <c:delete val="1"/>
        <c:axPos val="b"/>
        <c:numFmt formatCode="0.00%;\-0.00%;0.00%" sourceLinked="1"/>
        <c:majorTickMark val="none"/>
        <c:minorTickMark val="none"/>
        <c:tickLblPos val="nextTo"/>
        <c:crossAx val="6470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5.xlsx]Pivot!Attrition by Marital Status	</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Pivot!$J$4:$J$6</c:f>
              <c:strCache>
                <c:ptCount val="3"/>
                <c:pt idx="0">
                  <c:v>Divorced</c:v>
                </c:pt>
                <c:pt idx="1">
                  <c:v>Married</c:v>
                </c:pt>
                <c:pt idx="2">
                  <c:v>Single</c:v>
                </c:pt>
              </c:strCache>
            </c:strRef>
          </c:cat>
          <c:val>
            <c:numRef>
              <c:f>Pivot!$K$4:$K$6</c:f>
              <c:numCache>
                <c:formatCode>0.00%;\-0.00%;0.00%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BD2B-472D-884C-9B20A783C803}"/>
            </c:ext>
          </c:extLst>
        </c:ser>
        <c:dLbls>
          <c:dLblPos val="outEnd"/>
          <c:showLegendKey val="0"/>
          <c:showVal val="1"/>
          <c:showCatName val="0"/>
          <c:showSerName val="0"/>
          <c:showPercent val="0"/>
          <c:showBubbleSize val="0"/>
        </c:dLbls>
        <c:gapWidth val="182"/>
        <c:axId val="1844410064"/>
        <c:axId val="1844425424"/>
      </c:barChart>
      <c:catAx>
        <c:axId val="184441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25424"/>
        <c:crosses val="autoZero"/>
        <c:auto val="1"/>
        <c:lblAlgn val="ctr"/>
        <c:lblOffset val="100"/>
        <c:noMultiLvlLbl val="0"/>
      </c:catAx>
      <c:valAx>
        <c:axId val="1844425424"/>
        <c:scaling>
          <c:orientation val="minMax"/>
        </c:scaling>
        <c:delete val="1"/>
        <c:axPos val="b"/>
        <c:numFmt formatCode="0.00%;\-0.00%;0.00%" sourceLinked="1"/>
        <c:majorTickMark val="none"/>
        <c:minorTickMark val="none"/>
        <c:tickLblPos val="nextTo"/>
        <c:crossAx val="1844410064"/>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5.xlsx]Pivot!Attrition by Years at Company</c:name>
    <c:fmtId val="37"/>
  </c:pivotSource>
  <c:chart>
    <c:title>
      <c:tx>
        <c:strRef>
          <c:f>Pivot!$D$30</c:f>
          <c:strCache>
            <c:ptCount val="1"/>
            <c:pt idx="0">
              <c:v>Attrition by Years at Company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701443569553809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701443569553809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392117866710007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392117866710007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392117866710007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A8A3-4FCD-AFC5-584AD5F58D4F}"/>
              </c:ext>
            </c:extLst>
          </c:dPt>
          <c:dLbls>
            <c:dLbl>
              <c:idx val="1"/>
              <c:layout>
                <c:manualLayout>
                  <c:x val="-2.8392117866710007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A3-4FCD-AFC5-584AD5F58D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Pivot!$D$30</c:f>
              <c:strCache>
                <c:ptCount val="6"/>
                <c:pt idx="0">
                  <c:v>0 - 2 Years</c:v>
                </c:pt>
                <c:pt idx="1">
                  <c:v>11 - 15 Years</c:v>
                </c:pt>
                <c:pt idx="2">
                  <c:v>16 - 20 Years</c:v>
                </c:pt>
                <c:pt idx="3">
                  <c:v>20+ Years</c:v>
                </c:pt>
                <c:pt idx="4">
                  <c:v>3 - 5 Years</c:v>
                </c:pt>
                <c:pt idx="5">
                  <c:v>6 - 10 Years</c:v>
                </c:pt>
              </c:strCache>
            </c:strRef>
          </c:cat>
          <c:val>
            <c:numRef>
              <c:f>Pivot!$D$30</c:f>
              <c:numCache>
                <c:formatCode>0.00%;\-0.00%;0.00%</c:formatCode>
                <c:ptCount val="6"/>
                <c:pt idx="0">
                  <c:v>0.2982456140350877</c:v>
                </c:pt>
                <c:pt idx="1">
                  <c:v>6.4814814814814811E-2</c:v>
                </c:pt>
                <c:pt idx="2">
                  <c:v>6.9444444444444448E-2</c:v>
                </c:pt>
                <c:pt idx="3">
                  <c:v>0.12121212121212122</c:v>
                </c:pt>
                <c:pt idx="4">
                  <c:v>0.13824884792626729</c:v>
                </c:pt>
                <c:pt idx="5">
                  <c:v>0.12276785714285714</c:v>
                </c:pt>
              </c:numCache>
            </c:numRef>
          </c:val>
          <c:smooth val="0"/>
          <c:extLst>
            <c:ext xmlns:c16="http://schemas.microsoft.com/office/drawing/2014/chart" uri="{C3380CC4-5D6E-409C-BE32-E72D297353CC}">
              <c16:uniqueId val="{00000001-A8A3-4FCD-AFC5-584AD5F58D4F}"/>
            </c:ext>
          </c:extLst>
        </c:ser>
        <c:dLbls>
          <c:dLblPos val="t"/>
          <c:showLegendKey val="0"/>
          <c:showVal val="1"/>
          <c:showCatName val="0"/>
          <c:showSerName val="0"/>
          <c:showPercent val="0"/>
          <c:showBubbleSize val="0"/>
        </c:dLbls>
        <c:marker val="1"/>
        <c:smooth val="0"/>
        <c:axId val="1844644816"/>
        <c:axId val="1844640496"/>
      </c:lineChart>
      <c:catAx>
        <c:axId val="184464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640496"/>
        <c:crosses val="autoZero"/>
        <c:auto val="1"/>
        <c:lblAlgn val="ctr"/>
        <c:lblOffset val="100"/>
        <c:noMultiLvlLbl val="0"/>
      </c:catAx>
      <c:valAx>
        <c:axId val="184464049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64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5.xlsx]Pivot!Income vs Attrition	</c:name>
    <c:fmtId val="24"/>
  </c:pivotSource>
  <c:chart>
    <c:title>
      <c:tx>
        <c:strRef>
          <c:f>Pivot!$G$13</c:f>
          <c:strCache>
            <c:ptCount val="1"/>
            <c:pt idx="0">
              <c:v>Attrition Rate by Income Group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Pivot!$G$13</c:f>
              <c:strCache>
                <c:ptCount val="6"/>
                <c:pt idx="0">
                  <c:v>0 - 2,999</c:v>
                </c:pt>
                <c:pt idx="1">
                  <c:v>9,000 - 11,999</c:v>
                </c:pt>
                <c:pt idx="2">
                  <c:v>3,000 - 5,999</c:v>
                </c:pt>
                <c:pt idx="3">
                  <c:v>6,000 - 8,999</c:v>
                </c:pt>
                <c:pt idx="4">
                  <c:v>12,000 - 14,999</c:v>
                </c:pt>
                <c:pt idx="5">
                  <c:v>18,000 - 20,000</c:v>
                </c:pt>
              </c:strCache>
            </c:strRef>
          </c:cat>
          <c:val>
            <c:numRef>
              <c:f>Pivot!$G$13</c:f>
              <c:numCache>
                <c:formatCode>0.00%;\-0.00%;0.00%</c:formatCode>
                <c:ptCount val="6"/>
                <c:pt idx="0">
                  <c:v>0.28607594936708863</c:v>
                </c:pt>
                <c:pt idx="1">
                  <c:v>0.16666666666666666</c:v>
                </c:pt>
                <c:pt idx="2">
                  <c:v>0.12716763005780346</c:v>
                </c:pt>
                <c:pt idx="3">
                  <c:v>0.10762331838565023</c:v>
                </c:pt>
                <c:pt idx="4">
                  <c:v>9.6774193548387094E-2</c:v>
                </c:pt>
                <c:pt idx="5">
                  <c:v>7.2463768115942032E-2</c:v>
                </c:pt>
              </c:numCache>
            </c:numRef>
          </c:val>
          <c:extLst>
            <c:ext xmlns:c16="http://schemas.microsoft.com/office/drawing/2014/chart" uri="{C3380CC4-5D6E-409C-BE32-E72D297353CC}">
              <c16:uniqueId val="{00000000-112E-400F-ADF5-70E1C0A114FA}"/>
            </c:ext>
          </c:extLst>
        </c:ser>
        <c:dLbls>
          <c:dLblPos val="outEnd"/>
          <c:showLegendKey val="0"/>
          <c:showVal val="1"/>
          <c:showCatName val="0"/>
          <c:showSerName val="0"/>
          <c:showPercent val="0"/>
          <c:showBubbleSize val="0"/>
        </c:dLbls>
        <c:gapWidth val="219"/>
        <c:axId val="1844423504"/>
        <c:axId val="1844420144"/>
      </c:barChart>
      <c:catAx>
        <c:axId val="184442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20144"/>
        <c:crosses val="autoZero"/>
        <c:auto val="1"/>
        <c:lblAlgn val="ctr"/>
        <c:lblOffset val="100"/>
        <c:noMultiLvlLbl val="0"/>
      </c:catAx>
      <c:valAx>
        <c:axId val="1844420144"/>
        <c:scaling>
          <c:orientation val="minMax"/>
        </c:scaling>
        <c:delete val="1"/>
        <c:axPos val="b"/>
        <c:numFmt formatCode="0.00%;\-0.00%;0.00%" sourceLinked="1"/>
        <c:majorTickMark val="none"/>
        <c:minorTickMark val="none"/>
        <c:tickLblPos val="nextTo"/>
        <c:crossAx val="184442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44450</xdr:rowOff>
    </xdr:from>
    <xdr:to>
      <xdr:col>18</xdr:col>
      <xdr:colOff>495300</xdr:colOff>
      <xdr:row>4</xdr:row>
      <xdr:rowOff>76200</xdr:rowOff>
    </xdr:to>
    <xdr:sp macro="" textlink="">
      <xdr:nvSpPr>
        <xdr:cNvPr id="2" name="Rectangle: Rounded Corners 1">
          <a:extLst>
            <a:ext uri="{FF2B5EF4-FFF2-40B4-BE49-F238E27FC236}">
              <a16:creationId xmlns:a16="http://schemas.microsoft.com/office/drawing/2014/main" id="{534E9151-6D77-2B25-CAFA-0BD4E93849C1}"/>
            </a:ext>
          </a:extLst>
        </xdr:cNvPr>
        <xdr:cNvSpPr/>
      </xdr:nvSpPr>
      <xdr:spPr>
        <a:xfrm>
          <a:off x="152400" y="44450"/>
          <a:ext cx="11315700" cy="768350"/>
        </a:xfrm>
        <a:prstGeom prst="roundRect">
          <a:avLst>
            <a:gd name="adj" fmla="val 18258"/>
          </a:avLst>
        </a:prstGeom>
        <a:solidFill>
          <a:srgbClr val="0F172A"/>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r>
            <a:rPr lang="en-US" sz="2000" b="1" i="0">
              <a:solidFill>
                <a:schemeClr val="lt1"/>
              </a:solidFill>
              <a:effectLst/>
              <a:latin typeface="+mn-lt"/>
              <a:ea typeface="+mn-ea"/>
              <a:cs typeface="+mn-cs"/>
            </a:rPr>
            <a:t>HR Analytics</a:t>
          </a:r>
          <a:r>
            <a:rPr lang="en-US" sz="2000" b="1" i="0" baseline="0">
              <a:solidFill>
                <a:schemeClr val="lt1"/>
              </a:solidFill>
              <a:effectLst/>
              <a:latin typeface="+mn-lt"/>
              <a:ea typeface="+mn-ea"/>
              <a:cs typeface="+mn-cs"/>
            </a:rPr>
            <a:t> </a:t>
          </a:r>
          <a:r>
            <a:rPr lang="en-US" sz="2000" b="0" i="0">
              <a:solidFill>
                <a:schemeClr val="lt1"/>
              </a:solidFill>
              <a:effectLst/>
              <a:latin typeface="+mn-lt"/>
              <a:ea typeface="+mn-ea"/>
              <a:cs typeface="+mn-cs"/>
            </a:rPr>
            <a:t>Employee Attrition</a:t>
          </a:r>
          <a:endParaRPr lang="en-US" sz="2000"/>
        </a:p>
      </xdr:txBody>
    </xdr:sp>
    <xdr:clientData/>
  </xdr:twoCellAnchor>
  <xdr:twoCellAnchor>
    <xdr:from>
      <xdr:col>0</xdr:col>
      <xdr:colOff>158750</xdr:colOff>
      <xdr:row>4</xdr:row>
      <xdr:rowOff>114300</xdr:rowOff>
    </xdr:from>
    <xdr:to>
      <xdr:col>3</xdr:col>
      <xdr:colOff>50800</xdr:colOff>
      <xdr:row>63</xdr:row>
      <xdr:rowOff>114300</xdr:rowOff>
    </xdr:to>
    <xdr:sp macro="" textlink="">
      <xdr:nvSpPr>
        <xdr:cNvPr id="3" name="Rectangle: Rounded Corners 2">
          <a:extLst>
            <a:ext uri="{FF2B5EF4-FFF2-40B4-BE49-F238E27FC236}">
              <a16:creationId xmlns:a16="http://schemas.microsoft.com/office/drawing/2014/main" id="{1BC7A7FD-DE47-A404-E81D-E7423F943D24}"/>
            </a:ext>
          </a:extLst>
        </xdr:cNvPr>
        <xdr:cNvSpPr/>
      </xdr:nvSpPr>
      <xdr:spPr>
        <a:xfrm>
          <a:off x="158750" y="850900"/>
          <a:ext cx="1720850" cy="10864850"/>
        </a:xfrm>
        <a:prstGeom prst="roundRect">
          <a:avLst>
            <a:gd name="adj" fmla="val 887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63500</xdr:colOff>
      <xdr:row>4</xdr:row>
      <xdr:rowOff>95250</xdr:rowOff>
    </xdr:from>
    <xdr:to>
      <xdr:col>18</xdr:col>
      <xdr:colOff>482600</xdr:colOff>
      <xdr:row>63</xdr:row>
      <xdr:rowOff>69850</xdr:rowOff>
    </xdr:to>
    <xdr:sp macro="" textlink="">
      <xdr:nvSpPr>
        <xdr:cNvPr id="4" name="Rectangle: Rounded Corners 3">
          <a:extLst>
            <a:ext uri="{FF2B5EF4-FFF2-40B4-BE49-F238E27FC236}">
              <a16:creationId xmlns:a16="http://schemas.microsoft.com/office/drawing/2014/main" id="{25D95B78-8DB0-C745-6B40-D62CD7AED6C2}"/>
            </a:ext>
          </a:extLst>
        </xdr:cNvPr>
        <xdr:cNvSpPr/>
      </xdr:nvSpPr>
      <xdr:spPr>
        <a:xfrm>
          <a:off x="1892300" y="831850"/>
          <a:ext cx="9563100" cy="10839450"/>
        </a:xfrm>
        <a:prstGeom prst="roundRect">
          <a:avLst>
            <a:gd name="adj" fmla="val 1338"/>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171450</xdr:colOff>
      <xdr:row>40</xdr:row>
      <xdr:rowOff>63501</xdr:rowOff>
    </xdr:from>
    <xdr:to>
      <xdr:col>18</xdr:col>
      <xdr:colOff>412750</xdr:colOff>
      <xdr:row>51</xdr:row>
      <xdr:rowOff>107950</xdr:rowOff>
    </xdr:to>
    <xdr:sp macro="" textlink="">
      <xdr:nvSpPr>
        <xdr:cNvPr id="37" name="Rectangle: Rounded Corners 36">
          <a:extLst>
            <a:ext uri="{FF2B5EF4-FFF2-40B4-BE49-F238E27FC236}">
              <a16:creationId xmlns:a16="http://schemas.microsoft.com/office/drawing/2014/main" id="{38372D97-DA3B-4B44-B949-267B40ADBEFC}"/>
            </a:ext>
          </a:extLst>
        </xdr:cNvPr>
        <xdr:cNvSpPr/>
      </xdr:nvSpPr>
      <xdr:spPr>
        <a:xfrm>
          <a:off x="2000250" y="7429501"/>
          <a:ext cx="9385300" cy="2070099"/>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460682</xdr:colOff>
      <xdr:row>0</xdr:row>
      <xdr:rowOff>166755</xdr:rowOff>
    </xdr:from>
    <xdr:to>
      <xdr:col>11</xdr:col>
      <xdr:colOff>291237</xdr:colOff>
      <xdr:row>3</xdr:row>
      <xdr:rowOff>157390</xdr:rowOff>
    </xdr:to>
    <xdr:grpSp>
      <xdr:nvGrpSpPr>
        <xdr:cNvPr id="45" name="Group 44">
          <a:extLst>
            <a:ext uri="{FF2B5EF4-FFF2-40B4-BE49-F238E27FC236}">
              <a16:creationId xmlns:a16="http://schemas.microsoft.com/office/drawing/2014/main" id="{62E17895-341F-96C8-294F-93D263564B28}"/>
            </a:ext>
          </a:extLst>
        </xdr:cNvPr>
        <xdr:cNvGrpSpPr/>
      </xdr:nvGrpSpPr>
      <xdr:grpSpPr>
        <a:xfrm>
          <a:off x="5337482" y="166755"/>
          <a:ext cx="1659355" cy="543085"/>
          <a:chOff x="5308768" y="182402"/>
          <a:chExt cx="1652729" cy="537287"/>
        </a:xfrm>
      </xdr:grpSpPr>
      <xdr:sp macro="" textlink="">
        <xdr:nvSpPr>
          <xdr:cNvPr id="34" name="Rectangle: Rounded Corners 33">
            <a:extLst>
              <a:ext uri="{FF2B5EF4-FFF2-40B4-BE49-F238E27FC236}">
                <a16:creationId xmlns:a16="http://schemas.microsoft.com/office/drawing/2014/main" id="{9DD9BCCA-05F9-4CE8-ACBB-3CA5DE84D9F8}"/>
              </a:ext>
            </a:extLst>
          </xdr:cNvPr>
          <xdr:cNvSpPr/>
        </xdr:nvSpPr>
        <xdr:spPr>
          <a:xfrm>
            <a:off x="5355224" y="194756"/>
            <a:ext cx="1409424" cy="482071"/>
          </a:xfrm>
          <a:prstGeom prst="roundRect">
            <a:avLst>
              <a:gd name="adj" fmla="val 1825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sp macro="" textlink="">
        <xdr:nvSpPr>
          <xdr:cNvPr id="8" name="Rectangle: Rounded Corners 7">
            <a:extLst>
              <a:ext uri="{FF2B5EF4-FFF2-40B4-BE49-F238E27FC236}">
                <a16:creationId xmlns:a16="http://schemas.microsoft.com/office/drawing/2014/main" id="{2DE1B983-3632-49E5-B0F9-95DB679B08EC}"/>
              </a:ext>
            </a:extLst>
          </xdr:cNvPr>
          <xdr:cNvSpPr/>
        </xdr:nvSpPr>
        <xdr:spPr>
          <a:xfrm>
            <a:off x="5399310" y="182402"/>
            <a:ext cx="1379438" cy="458547"/>
          </a:xfrm>
          <a:prstGeom prst="roundRect">
            <a:avLst>
              <a:gd name="adj" fmla="val 18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ysClr val="windowText" lastClr="000000"/>
              </a:solidFill>
            </a:endParaRPr>
          </a:p>
        </xdr:txBody>
      </xdr:sp>
      <xdr:sp macro="" textlink="">
        <xdr:nvSpPr>
          <xdr:cNvPr id="5" name="Rectangle: Rounded Corners 4">
            <a:extLst>
              <a:ext uri="{FF2B5EF4-FFF2-40B4-BE49-F238E27FC236}">
                <a16:creationId xmlns:a16="http://schemas.microsoft.com/office/drawing/2014/main" id="{FAB1903D-DC1E-454C-9384-C8DDCBE3122B}"/>
              </a:ext>
            </a:extLst>
          </xdr:cNvPr>
          <xdr:cNvSpPr/>
        </xdr:nvSpPr>
        <xdr:spPr>
          <a:xfrm>
            <a:off x="5308768" y="204550"/>
            <a:ext cx="1652729" cy="238722"/>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r>
              <a:rPr lang="en-US" sz="1550" b="1" i="0">
                <a:solidFill>
                  <a:sysClr val="windowText" lastClr="000000"/>
                </a:solidFill>
                <a:effectLst/>
                <a:latin typeface="+mn-lt"/>
                <a:ea typeface="+mn-ea"/>
                <a:cs typeface="+mn-cs"/>
              </a:rPr>
              <a:t>Total Employees</a:t>
            </a:r>
            <a:endParaRPr lang="en-US" sz="1550">
              <a:solidFill>
                <a:sysClr val="windowText" lastClr="000000"/>
              </a:solidFill>
            </a:endParaRPr>
          </a:p>
        </xdr:txBody>
      </xdr:sp>
      <xdr:sp macro="" textlink="Pivot!G35">
        <xdr:nvSpPr>
          <xdr:cNvPr id="7" name="Rectangle: Rounded Corners 6">
            <a:extLst>
              <a:ext uri="{FF2B5EF4-FFF2-40B4-BE49-F238E27FC236}">
                <a16:creationId xmlns:a16="http://schemas.microsoft.com/office/drawing/2014/main" id="{F121A9C9-6DE2-42E7-8409-265EEA669ADD}"/>
              </a:ext>
            </a:extLst>
          </xdr:cNvPr>
          <xdr:cNvSpPr/>
        </xdr:nvSpPr>
        <xdr:spPr>
          <a:xfrm>
            <a:off x="5776459" y="288932"/>
            <a:ext cx="653769" cy="430757"/>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fld id="{17B49B28-0E4E-4C45-BCF7-67EA841C17AE}" type="TxLink">
              <a:rPr lang="en-US" sz="1600" b="1" i="0" u="none" strike="noStrike">
                <a:solidFill>
                  <a:sysClr val="windowText" lastClr="000000"/>
                </a:solidFill>
                <a:effectLst/>
                <a:latin typeface="Aptos Narrow"/>
                <a:ea typeface="+mn-ea"/>
                <a:cs typeface="+mn-cs"/>
              </a:rPr>
              <a:pPr algn="l" fontAlgn="base"/>
              <a:t>1470</a:t>
            </a:fld>
            <a:endParaRPr lang="en-US" sz="3200" b="1">
              <a:solidFill>
                <a:sysClr val="windowText" lastClr="000000"/>
              </a:solidFill>
            </a:endParaRPr>
          </a:p>
        </xdr:txBody>
      </xdr:sp>
    </xdr:grpSp>
    <xdr:clientData/>
  </xdr:twoCellAnchor>
  <xdr:twoCellAnchor>
    <xdr:from>
      <xdr:col>6</xdr:col>
      <xdr:colOff>210366</xdr:colOff>
      <xdr:row>0</xdr:row>
      <xdr:rowOff>161233</xdr:rowOff>
    </xdr:from>
    <xdr:to>
      <xdr:col>8</xdr:col>
      <xdr:colOff>539739</xdr:colOff>
      <xdr:row>3</xdr:row>
      <xdr:rowOff>161233</xdr:rowOff>
    </xdr:to>
    <xdr:grpSp>
      <xdr:nvGrpSpPr>
        <xdr:cNvPr id="44" name="Group 43">
          <a:extLst>
            <a:ext uri="{FF2B5EF4-FFF2-40B4-BE49-F238E27FC236}">
              <a16:creationId xmlns:a16="http://schemas.microsoft.com/office/drawing/2014/main" id="{BFDAADA4-A4BA-3657-9A48-185A31E6B778}"/>
            </a:ext>
          </a:extLst>
        </xdr:cNvPr>
        <xdr:cNvGrpSpPr/>
      </xdr:nvGrpSpPr>
      <xdr:grpSpPr>
        <a:xfrm>
          <a:off x="3867966" y="161233"/>
          <a:ext cx="1548573" cy="552450"/>
          <a:chOff x="3854714" y="171450"/>
          <a:chExt cx="1544155" cy="546652"/>
        </a:xfrm>
      </xdr:grpSpPr>
      <xdr:sp macro="" textlink="">
        <xdr:nvSpPr>
          <xdr:cNvPr id="33" name="Rectangle: Rounded Corners 32">
            <a:extLst>
              <a:ext uri="{FF2B5EF4-FFF2-40B4-BE49-F238E27FC236}">
                <a16:creationId xmlns:a16="http://schemas.microsoft.com/office/drawing/2014/main" id="{A2129261-5E23-200B-A561-846F736302FB}"/>
              </a:ext>
            </a:extLst>
          </xdr:cNvPr>
          <xdr:cNvSpPr/>
        </xdr:nvSpPr>
        <xdr:spPr>
          <a:xfrm>
            <a:off x="3854714" y="193176"/>
            <a:ext cx="1446156" cy="487227"/>
          </a:xfrm>
          <a:prstGeom prst="roundRect">
            <a:avLst>
              <a:gd name="adj" fmla="val 1825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sp macro="" textlink="">
        <xdr:nvSpPr>
          <xdr:cNvPr id="11" name="Rectangle: Rounded Corners 10">
            <a:extLst>
              <a:ext uri="{FF2B5EF4-FFF2-40B4-BE49-F238E27FC236}">
                <a16:creationId xmlns:a16="http://schemas.microsoft.com/office/drawing/2014/main" id="{1C60B60F-3C30-ECDD-C371-A975CAA0A943}"/>
              </a:ext>
            </a:extLst>
          </xdr:cNvPr>
          <xdr:cNvSpPr/>
        </xdr:nvSpPr>
        <xdr:spPr>
          <a:xfrm>
            <a:off x="3891897" y="186892"/>
            <a:ext cx="1424157" cy="453361"/>
          </a:xfrm>
          <a:prstGeom prst="roundRect">
            <a:avLst>
              <a:gd name="adj" fmla="val 18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sp macro="" textlink="">
        <xdr:nvSpPr>
          <xdr:cNvPr id="12" name="Rectangle: Rounded Corners 11">
            <a:extLst>
              <a:ext uri="{FF2B5EF4-FFF2-40B4-BE49-F238E27FC236}">
                <a16:creationId xmlns:a16="http://schemas.microsoft.com/office/drawing/2014/main" id="{A13E8F97-F519-27AE-2778-633B8290DB53}"/>
              </a:ext>
            </a:extLst>
          </xdr:cNvPr>
          <xdr:cNvSpPr/>
        </xdr:nvSpPr>
        <xdr:spPr>
          <a:xfrm>
            <a:off x="3868070" y="171450"/>
            <a:ext cx="1530799" cy="276468"/>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r>
              <a:rPr lang="en-US" sz="1600" b="1">
                <a:solidFill>
                  <a:sysClr val="windowText" lastClr="000000"/>
                </a:solidFill>
              </a:rPr>
              <a:t>Employees</a:t>
            </a:r>
            <a:r>
              <a:rPr lang="en-US" sz="1600" b="1" baseline="0">
                <a:solidFill>
                  <a:sysClr val="windowText" lastClr="000000"/>
                </a:solidFill>
              </a:rPr>
              <a:t> Left</a:t>
            </a:r>
            <a:endParaRPr lang="en-US" sz="1600" b="1">
              <a:solidFill>
                <a:sysClr val="windowText" lastClr="000000"/>
              </a:solidFill>
            </a:endParaRPr>
          </a:p>
        </xdr:txBody>
      </xdr:sp>
      <xdr:sp macro="" textlink="Pivot!J35">
        <xdr:nvSpPr>
          <xdr:cNvPr id="13" name="Rectangle: Rounded Corners 12">
            <a:extLst>
              <a:ext uri="{FF2B5EF4-FFF2-40B4-BE49-F238E27FC236}">
                <a16:creationId xmlns:a16="http://schemas.microsoft.com/office/drawing/2014/main" id="{B2ED9356-D60C-DE68-E0CC-9DF257077306}"/>
              </a:ext>
            </a:extLst>
          </xdr:cNvPr>
          <xdr:cNvSpPr/>
        </xdr:nvSpPr>
        <xdr:spPr>
          <a:xfrm>
            <a:off x="4392279" y="292218"/>
            <a:ext cx="568808" cy="425884"/>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fld id="{BC0643F9-1533-4FDC-932E-F141C66F0A7E}" type="TxLink">
              <a:rPr lang="en-US" sz="1600" b="1" i="0" u="none" strike="noStrike">
                <a:solidFill>
                  <a:sysClr val="windowText" lastClr="000000"/>
                </a:solidFill>
                <a:latin typeface="Aptos Narrow"/>
              </a:rPr>
              <a:pPr algn="l" fontAlgn="base"/>
              <a:t>237</a:t>
            </a:fld>
            <a:endParaRPr lang="en-US" sz="1600" b="1">
              <a:solidFill>
                <a:sysClr val="windowText" lastClr="000000"/>
              </a:solidFill>
            </a:endParaRPr>
          </a:p>
        </xdr:txBody>
      </xdr:sp>
    </xdr:grpSp>
    <xdr:clientData/>
  </xdr:twoCellAnchor>
  <xdr:twoCellAnchor>
    <xdr:from>
      <xdr:col>10</xdr:col>
      <xdr:colOff>566669</xdr:colOff>
      <xdr:row>0</xdr:row>
      <xdr:rowOff>155711</xdr:rowOff>
    </xdr:from>
    <xdr:to>
      <xdr:col>14</xdr:col>
      <xdr:colOff>96769</xdr:colOff>
      <xdr:row>4</xdr:row>
      <xdr:rowOff>60465</xdr:rowOff>
    </xdr:to>
    <xdr:grpSp>
      <xdr:nvGrpSpPr>
        <xdr:cNvPr id="46" name="Group 45">
          <a:extLst>
            <a:ext uri="{FF2B5EF4-FFF2-40B4-BE49-F238E27FC236}">
              <a16:creationId xmlns:a16="http://schemas.microsoft.com/office/drawing/2014/main" id="{367129C2-C48A-4DFF-105E-6009F5575D2D}"/>
            </a:ext>
          </a:extLst>
        </xdr:cNvPr>
        <xdr:cNvGrpSpPr/>
      </xdr:nvGrpSpPr>
      <xdr:grpSpPr>
        <a:xfrm>
          <a:off x="6662669" y="155711"/>
          <a:ext cx="1968500" cy="641354"/>
          <a:chOff x="6629538" y="161924"/>
          <a:chExt cx="1959665" cy="633624"/>
        </a:xfrm>
      </xdr:grpSpPr>
      <xdr:sp macro="" textlink="">
        <xdr:nvSpPr>
          <xdr:cNvPr id="35" name="Rectangle: Rounded Corners 34">
            <a:extLst>
              <a:ext uri="{FF2B5EF4-FFF2-40B4-BE49-F238E27FC236}">
                <a16:creationId xmlns:a16="http://schemas.microsoft.com/office/drawing/2014/main" id="{F8FA1078-CCEA-444D-B76D-A6186D36FCBF}"/>
              </a:ext>
            </a:extLst>
          </xdr:cNvPr>
          <xdr:cNvSpPr/>
        </xdr:nvSpPr>
        <xdr:spPr>
          <a:xfrm>
            <a:off x="6828147" y="182217"/>
            <a:ext cx="1446727" cy="495403"/>
          </a:xfrm>
          <a:prstGeom prst="roundRect">
            <a:avLst>
              <a:gd name="adj" fmla="val 1825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sp macro="" textlink="">
        <xdr:nvSpPr>
          <xdr:cNvPr id="15" name="Rectangle: Rounded Corners 14">
            <a:extLst>
              <a:ext uri="{FF2B5EF4-FFF2-40B4-BE49-F238E27FC236}">
                <a16:creationId xmlns:a16="http://schemas.microsoft.com/office/drawing/2014/main" id="{E8685A1F-2F67-80BE-0AE8-1AE4B1C38194}"/>
              </a:ext>
            </a:extLst>
          </xdr:cNvPr>
          <xdr:cNvSpPr/>
        </xdr:nvSpPr>
        <xdr:spPr>
          <a:xfrm>
            <a:off x="6878283" y="174577"/>
            <a:ext cx="1413809" cy="470404"/>
          </a:xfrm>
          <a:prstGeom prst="roundRect">
            <a:avLst>
              <a:gd name="adj" fmla="val 18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sp macro="" textlink="">
        <xdr:nvSpPr>
          <xdr:cNvPr id="16" name="Rectangle: Rounded Corners 15">
            <a:extLst>
              <a:ext uri="{FF2B5EF4-FFF2-40B4-BE49-F238E27FC236}">
                <a16:creationId xmlns:a16="http://schemas.microsoft.com/office/drawing/2014/main" id="{5CDA7632-AACA-10F0-9213-A2D0D8B9F31F}"/>
              </a:ext>
            </a:extLst>
          </xdr:cNvPr>
          <xdr:cNvSpPr/>
        </xdr:nvSpPr>
        <xdr:spPr>
          <a:xfrm>
            <a:off x="6629538" y="161924"/>
            <a:ext cx="1959665" cy="284699"/>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ase"/>
            <a:r>
              <a:rPr lang="en-US" sz="1600" b="1">
                <a:solidFill>
                  <a:schemeClr val="tx1"/>
                </a:solidFill>
              </a:rPr>
              <a:t>Attrition Rate</a:t>
            </a:r>
          </a:p>
        </xdr:txBody>
      </xdr:sp>
      <xdr:sp macro="" textlink="Pivot!A46">
        <xdr:nvSpPr>
          <xdr:cNvPr id="17" name="Rectangle: Rounded Corners 16">
            <a:extLst>
              <a:ext uri="{FF2B5EF4-FFF2-40B4-BE49-F238E27FC236}">
                <a16:creationId xmlns:a16="http://schemas.microsoft.com/office/drawing/2014/main" id="{51526FD5-A6A4-5198-993D-848D0B7265F3}"/>
              </a:ext>
            </a:extLst>
          </xdr:cNvPr>
          <xdr:cNvSpPr/>
        </xdr:nvSpPr>
        <xdr:spPr>
          <a:xfrm>
            <a:off x="7352396" y="207170"/>
            <a:ext cx="610979" cy="588378"/>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fld id="{48FB3DF9-8152-43B4-8FE9-80DCF41CAE0F}" type="TxLink">
              <a:rPr lang="en-US" sz="1600" b="1" i="0" u="none" strike="noStrike">
                <a:solidFill>
                  <a:srgbClr val="000000"/>
                </a:solidFill>
                <a:latin typeface="Aptos Narrow"/>
              </a:rPr>
              <a:pPr algn="l" fontAlgn="base"/>
              <a:t>16%</a:t>
            </a:fld>
            <a:endParaRPr lang="en-US" sz="1600" b="1">
              <a:solidFill>
                <a:schemeClr val="tx1"/>
              </a:solidFill>
            </a:endParaRPr>
          </a:p>
        </xdr:txBody>
      </xdr:sp>
    </xdr:grpSp>
    <xdr:clientData/>
  </xdr:twoCellAnchor>
  <xdr:twoCellAnchor>
    <xdr:from>
      <xdr:col>13</xdr:col>
      <xdr:colOff>270292</xdr:colOff>
      <xdr:row>0</xdr:row>
      <xdr:rowOff>161233</xdr:rowOff>
    </xdr:from>
    <xdr:to>
      <xdr:col>16</xdr:col>
      <xdr:colOff>409992</xdr:colOff>
      <xdr:row>4</xdr:row>
      <xdr:rowOff>65987</xdr:rowOff>
    </xdr:to>
    <xdr:grpSp>
      <xdr:nvGrpSpPr>
        <xdr:cNvPr id="47" name="Group 46">
          <a:extLst>
            <a:ext uri="{FF2B5EF4-FFF2-40B4-BE49-F238E27FC236}">
              <a16:creationId xmlns:a16="http://schemas.microsoft.com/office/drawing/2014/main" id="{606BB2B0-5A36-A0FB-2356-CD078799FEC6}"/>
            </a:ext>
          </a:extLst>
        </xdr:cNvPr>
        <xdr:cNvGrpSpPr/>
      </xdr:nvGrpSpPr>
      <xdr:grpSpPr>
        <a:xfrm>
          <a:off x="8195092" y="161233"/>
          <a:ext cx="1968500" cy="641354"/>
          <a:chOff x="8155335" y="161233"/>
          <a:chExt cx="1961874" cy="633624"/>
        </a:xfrm>
      </xdr:grpSpPr>
      <xdr:sp macro="" textlink="">
        <xdr:nvSpPr>
          <xdr:cNvPr id="42" name="Rectangle: Rounded Corners 41">
            <a:extLst>
              <a:ext uri="{FF2B5EF4-FFF2-40B4-BE49-F238E27FC236}">
                <a16:creationId xmlns:a16="http://schemas.microsoft.com/office/drawing/2014/main" id="{DFA0DE05-9EAD-4334-8AB3-A74FBFEC8283}"/>
              </a:ext>
            </a:extLst>
          </xdr:cNvPr>
          <xdr:cNvSpPr/>
        </xdr:nvSpPr>
        <xdr:spPr>
          <a:xfrm>
            <a:off x="8360779" y="177042"/>
            <a:ext cx="1446727" cy="495403"/>
          </a:xfrm>
          <a:prstGeom prst="roundRect">
            <a:avLst>
              <a:gd name="adj" fmla="val 1825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grpSp>
        <xdr:nvGrpSpPr>
          <xdr:cNvPr id="25" name="Group 24">
            <a:extLst>
              <a:ext uri="{FF2B5EF4-FFF2-40B4-BE49-F238E27FC236}">
                <a16:creationId xmlns:a16="http://schemas.microsoft.com/office/drawing/2014/main" id="{EFB965FC-9987-CEC8-4BA7-0B44EB81ADC7}"/>
              </a:ext>
            </a:extLst>
          </xdr:cNvPr>
          <xdr:cNvGrpSpPr/>
        </xdr:nvGrpSpPr>
        <xdr:grpSpPr>
          <a:xfrm>
            <a:off x="8155335" y="161233"/>
            <a:ext cx="1961874" cy="633624"/>
            <a:chOff x="3892550" y="76200"/>
            <a:chExt cx="2000250" cy="635963"/>
          </a:xfrm>
        </xdr:grpSpPr>
        <xdr:sp macro="" textlink="">
          <xdr:nvSpPr>
            <xdr:cNvPr id="26" name="Rectangle: Rounded Corners 25">
              <a:extLst>
                <a:ext uri="{FF2B5EF4-FFF2-40B4-BE49-F238E27FC236}">
                  <a16:creationId xmlns:a16="http://schemas.microsoft.com/office/drawing/2014/main" id="{CC90504D-D4FB-E405-4116-48AA3B2539E0}"/>
                </a:ext>
              </a:extLst>
            </xdr:cNvPr>
            <xdr:cNvSpPr/>
          </xdr:nvSpPr>
          <xdr:spPr>
            <a:xfrm>
              <a:off x="4152900" y="88900"/>
              <a:ext cx="1443089" cy="472140"/>
            </a:xfrm>
            <a:prstGeom prst="roundRect">
              <a:avLst>
                <a:gd name="adj" fmla="val 18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sp macro="" textlink="">
          <xdr:nvSpPr>
            <xdr:cNvPr id="27" name="Rectangle: Rounded Corners 26">
              <a:extLst>
                <a:ext uri="{FF2B5EF4-FFF2-40B4-BE49-F238E27FC236}">
                  <a16:creationId xmlns:a16="http://schemas.microsoft.com/office/drawing/2014/main" id="{49F0C577-9B26-0EAC-6BC3-62E952967510}"/>
                </a:ext>
              </a:extLst>
            </xdr:cNvPr>
            <xdr:cNvSpPr/>
          </xdr:nvSpPr>
          <xdr:spPr>
            <a:xfrm>
              <a:off x="3892550" y="76200"/>
              <a:ext cx="2000250" cy="285750"/>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ase"/>
              <a:r>
                <a:rPr lang="en-US" sz="1600" b="1">
                  <a:solidFill>
                    <a:schemeClr val="tx1"/>
                  </a:solidFill>
                </a:rPr>
                <a:t>Average</a:t>
              </a:r>
              <a:r>
                <a:rPr lang="en-US" sz="1600" b="1" baseline="0">
                  <a:solidFill>
                    <a:schemeClr val="tx1"/>
                  </a:solidFill>
                </a:rPr>
                <a:t> Age</a:t>
              </a:r>
              <a:endParaRPr lang="en-US" sz="1600" b="1">
                <a:solidFill>
                  <a:schemeClr val="tx1"/>
                </a:solidFill>
              </a:endParaRPr>
            </a:p>
          </xdr:txBody>
        </xdr:sp>
        <xdr:sp macro="" textlink="Pivot!G47">
          <xdr:nvSpPr>
            <xdr:cNvPr id="28" name="Rectangle: Rounded Corners 27">
              <a:extLst>
                <a:ext uri="{FF2B5EF4-FFF2-40B4-BE49-F238E27FC236}">
                  <a16:creationId xmlns:a16="http://schemas.microsoft.com/office/drawing/2014/main" id="{1AA161AB-353D-E879-4075-F1E3BBE071BB}"/>
                </a:ext>
              </a:extLst>
            </xdr:cNvPr>
            <xdr:cNvSpPr/>
          </xdr:nvSpPr>
          <xdr:spPr>
            <a:xfrm>
              <a:off x="4630379" y="121613"/>
              <a:ext cx="623632" cy="590550"/>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fld id="{10951C3D-69C8-4F77-B939-2E5374E879DB}" type="TxLink">
                <a:rPr lang="en-US" sz="1600" b="1" i="0" u="none" strike="noStrike">
                  <a:solidFill>
                    <a:srgbClr val="000000"/>
                  </a:solidFill>
                  <a:latin typeface="Aptos Narrow"/>
                </a:rPr>
                <a:pPr algn="l" fontAlgn="base"/>
                <a:t>37</a:t>
              </a:fld>
              <a:endParaRPr lang="en-US" sz="2400" b="1" i="0" u="none" strike="noStrike">
                <a:solidFill>
                  <a:srgbClr val="000000"/>
                </a:solidFill>
                <a:latin typeface="Aptos Narrow"/>
              </a:endParaRPr>
            </a:p>
          </xdr:txBody>
        </xdr:sp>
      </xdr:grpSp>
    </xdr:grpSp>
    <xdr:clientData/>
  </xdr:twoCellAnchor>
  <xdr:twoCellAnchor>
    <xdr:from>
      <xdr:col>15</xdr:col>
      <xdr:colOff>584202</xdr:colOff>
      <xdr:row>0</xdr:row>
      <xdr:rowOff>161233</xdr:rowOff>
    </xdr:from>
    <xdr:to>
      <xdr:col>19</xdr:col>
      <xdr:colOff>116510</xdr:colOff>
      <xdr:row>4</xdr:row>
      <xdr:rowOff>59637</xdr:rowOff>
    </xdr:to>
    <xdr:grpSp>
      <xdr:nvGrpSpPr>
        <xdr:cNvPr id="48" name="Group 47">
          <a:extLst>
            <a:ext uri="{FF2B5EF4-FFF2-40B4-BE49-F238E27FC236}">
              <a16:creationId xmlns:a16="http://schemas.microsoft.com/office/drawing/2014/main" id="{E288344C-7D1A-51E2-A788-294BA90EF721}"/>
            </a:ext>
          </a:extLst>
        </xdr:cNvPr>
        <xdr:cNvGrpSpPr/>
      </xdr:nvGrpSpPr>
      <xdr:grpSpPr>
        <a:xfrm>
          <a:off x="9728202" y="161233"/>
          <a:ext cx="1970708" cy="635004"/>
          <a:chOff x="9650896" y="177799"/>
          <a:chExt cx="1961873" cy="627274"/>
        </a:xfrm>
      </xdr:grpSpPr>
      <xdr:sp macro="" textlink="">
        <xdr:nvSpPr>
          <xdr:cNvPr id="43" name="Rectangle: Rounded Corners 42">
            <a:extLst>
              <a:ext uri="{FF2B5EF4-FFF2-40B4-BE49-F238E27FC236}">
                <a16:creationId xmlns:a16="http://schemas.microsoft.com/office/drawing/2014/main" id="{6F932B12-8963-4F58-BD15-E19A7A68CAC5}"/>
              </a:ext>
            </a:extLst>
          </xdr:cNvPr>
          <xdr:cNvSpPr/>
        </xdr:nvSpPr>
        <xdr:spPr>
          <a:xfrm>
            <a:off x="9854962" y="196920"/>
            <a:ext cx="1446727" cy="495403"/>
          </a:xfrm>
          <a:prstGeom prst="roundRect">
            <a:avLst>
              <a:gd name="adj" fmla="val 1825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grpSp>
        <xdr:nvGrpSpPr>
          <xdr:cNvPr id="29" name="Group 28">
            <a:extLst>
              <a:ext uri="{FF2B5EF4-FFF2-40B4-BE49-F238E27FC236}">
                <a16:creationId xmlns:a16="http://schemas.microsoft.com/office/drawing/2014/main" id="{2BCD8EE0-35B7-1631-9D0B-56E6876B8C73}"/>
              </a:ext>
            </a:extLst>
          </xdr:cNvPr>
          <xdr:cNvGrpSpPr/>
        </xdr:nvGrpSpPr>
        <xdr:grpSpPr>
          <a:xfrm>
            <a:off x="9650896" y="177799"/>
            <a:ext cx="1961873" cy="627274"/>
            <a:chOff x="3892550" y="76200"/>
            <a:chExt cx="2000250" cy="629666"/>
          </a:xfrm>
        </xdr:grpSpPr>
        <xdr:sp macro="" textlink="">
          <xdr:nvSpPr>
            <xdr:cNvPr id="30" name="Rectangle: Rounded Corners 29">
              <a:extLst>
                <a:ext uri="{FF2B5EF4-FFF2-40B4-BE49-F238E27FC236}">
                  <a16:creationId xmlns:a16="http://schemas.microsoft.com/office/drawing/2014/main" id="{E8E7DAF9-8277-A606-8A02-0C30E3A32731}"/>
                </a:ext>
              </a:extLst>
            </xdr:cNvPr>
            <xdr:cNvSpPr/>
          </xdr:nvSpPr>
          <xdr:spPr>
            <a:xfrm>
              <a:off x="4152900" y="88900"/>
              <a:ext cx="1443089" cy="472140"/>
            </a:xfrm>
            <a:prstGeom prst="roundRect">
              <a:avLst>
                <a:gd name="adj" fmla="val 18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endParaRPr lang="en-US" sz="2000">
                <a:solidFill>
                  <a:schemeClr val="tx1"/>
                </a:solidFill>
              </a:endParaRPr>
            </a:p>
          </xdr:txBody>
        </xdr:sp>
        <xdr:sp macro="" textlink="">
          <xdr:nvSpPr>
            <xdr:cNvPr id="31" name="Rectangle: Rounded Corners 30">
              <a:extLst>
                <a:ext uri="{FF2B5EF4-FFF2-40B4-BE49-F238E27FC236}">
                  <a16:creationId xmlns:a16="http://schemas.microsoft.com/office/drawing/2014/main" id="{FE579FEB-6109-754C-B9CC-06908FC60139}"/>
                </a:ext>
              </a:extLst>
            </xdr:cNvPr>
            <xdr:cNvSpPr/>
          </xdr:nvSpPr>
          <xdr:spPr>
            <a:xfrm>
              <a:off x="3892550" y="76200"/>
              <a:ext cx="2000250" cy="285750"/>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ase"/>
              <a:r>
                <a:rPr lang="en-US" sz="1600" b="1">
                  <a:solidFill>
                    <a:schemeClr val="tx1"/>
                  </a:solidFill>
                </a:rPr>
                <a:t>Average</a:t>
              </a:r>
              <a:r>
                <a:rPr lang="en-US" sz="1600" b="1" baseline="0">
                  <a:solidFill>
                    <a:schemeClr val="tx1"/>
                  </a:solidFill>
                </a:rPr>
                <a:t> Salary</a:t>
              </a:r>
              <a:endParaRPr lang="en-US" sz="1600" b="1">
                <a:solidFill>
                  <a:schemeClr val="tx1"/>
                </a:solidFill>
              </a:endParaRPr>
            </a:p>
          </xdr:txBody>
        </xdr:sp>
        <xdr:sp macro="" textlink="Pivot!D46">
          <xdr:nvSpPr>
            <xdr:cNvPr id="32" name="Rectangle: Rounded Corners 31">
              <a:extLst>
                <a:ext uri="{FF2B5EF4-FFF2-40B4-BE49-F238E27FC236}">
                  <a16:creationId xmlns:a16="http://schemas.microsoft.com/office/drawing/2014/main" id="{1EB2744E-F86E-20C8-81FF-583945138BAC}"/>
                </a:ext>
              </a:extLst>
            </xdr:cNvPr>
            <xdr:cNvSpPr/>
          </xdr:nvSpPr>
          <xdr:spPr>
            <a:xfrm>
              <a:off x="4598116" y="115316"/>
              <a:ext cx="830109" cy="590550"/>
            </a:xfrm>
            <a:prstGeom prst="roundRect">
              <a:avLst>
                <a:gd name="adj" fmla="val 1825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fontAlgn="base"/>
              <a:fld id="{A9BE8032-865D-4695-B8BA-00177C631751}" type="TxLink">
                <a:rPr lang="en-US" sz="1600" b="1" i="0" u="none" strike="noStrike">
                  <a:solidFill>
                    <a:srgbClr val="000000"/>
                  </a:solidFill>
                  <a:latin typeface="Aptos Narrow"/>
                </a:rPr>
                <a:pPr algn="l" fontAlgn="base"/>
                <a:t>6503</a:t>
              </a:fld>
              <a:endParaRPr lang="en-US" sz="3600" b="1" i="0" u="none" strike="noStrike">
                <a:solidFill>
                  <a:srgbClr val="000000"/>
                </a:solidFill>
                <a:latin typeface="Aptos Narrow"/>
              </a:endParaRPr>
            </a:p>
          </xdr:txBody>
        </xdr:sp>
      </xdr:grpSp>
    </xdr:grpSp>
    <xdr:clientData/>
  </xdr:twoCellAnchor>
  <xdr:twoCellAnchor>
    <xdr:from>
      <xdr:col>3</xdr:col>
      <xdr:colOff>165097</xdr:colOff>
      <xdr:row>4</xdr:row>
      <xdr:rowOff>177801</xdr:rowOff>
    </xdr:from>
    <xdr:to>
      <xdr:col>10</xdr:col>
      <xdr:colOff>561337</xdr:colOff>
      <xdr:row>16</xdr:row>
      <xdr:rowOff>31750</xdr:rowOff>
    </xdr:to>
    <xdr:sp macro="" textlink="">
      <xdr:nvSpPr>
        <xdr:cNvPr id="51" name="Rectangle: Rounded Corners 50">
          <a:extLst>
            <a:ext uri="{FF2B5EF4-FFF2-40B4-BE49-F238E27FC236}">
              <a16:creationId xmlns:a16="http://schemas.microsoft.com/office/drawing/2014/main" id="{EF6A35CA-20C0-6938-5C9E-8B31CB8F0486}"/>
            </a:ext>
          </a:extLst>
        </xdr:cNvPr>
        <xdr:cNvSpPr/>
      </xdr:nvSpPr>
      <xdr:spPr>
        <a:xfrm>
          <a:off x="1993897" y="914401"/>
          <a:ext cx="4663440" cy="2063749"/>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177797</xdr:colOff>
      <xdr:row>51</xdr:row>
      <xdr:rowOff>165101</xdr:rowOff>
    </xdr:from>
    <xdr:to>
      <xdr:col>10</xdr:col>
      <xdr:colOff>574037</xdr:colOff>
      <xdr:row>63</xdr:row>
      <xdr:rowOff>19050</xdr:rowOff>
    </xdr:to>
    <xdr:sp macro="" textlink="">
      <xdr:nvSpPr>
        <xdr:cNvPr id="39" name="Rectangle: Rounded Corners 38">
          <a:extLst>
            <a:ext uri="{FF2B5EF4-FFF2-40B4-BE49-F238E27FC236}">
              <a16:creationId xmlns:a16="http://schemas.microsoft.com/office/drawing/2014/main" id="{926AD7EB-464B-491D-9F04-433F2CD10849}"/>
            </a:ext>
          </a:extLst>
        </xdr:cNvPr>
        <xdr:cNvSpPr/>
      </xdr:nvSpPr>
      <xdr:spPr>
        <a:xfrm>
          <a:off x="2006597" y="9556751"/>
          <a:ext cx="4663440" cy="2063749"/>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317490</xdr:colOff>
      <xdr:row>5</xdr:row>
      <xdr:rowOff>148699</xdr:rowOff>
    </xdr:from>
    <xdr:to>
      <xdr:col>10</xdr:col>
      <xdr:colOff>450850</xdr:colOff>
      <xdr:row>15</xdr:row>
      <xdr:rowOff>108288</xdr:rowOff>
    </xdr:to>
    <xdr:graphicFrame macro="">
      <xdr:nvGraphicFramePr>
        <xdr:cNvPr id="50" name="Chart 49">
          <a:extLst>
            <a:ext uri="{FF2B5EF4-FFF2-40B4-BE49-F238E27FC236}">
              <a16:creationId xmlns:a16="http://schemas.microsoft.com/office/drawing/2014/main" id="{1A30D626-2A3A-4011-A94A-8109EE9EC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234950</xdr:colOff>
      <xdr:row>52</xdr:row>
      <xdr:rowOff>88900</xdr:rowOff>
    </xdr:from>
    <xdr:to>
      <xdr:col>10</xdr:col>
      <xdr:colOff>539750</xdr:colOff>
      <xdr:row>61</xdr:row>
      <xdr:rowOff>146050</xdr:rowOff>
    </xdr:to>
    <xdr:graphicFrame macro="">
      <xdr:nvGraphicFramePr>
        <xdr:cNvPr id="38" name="Chart 37">
          <a:extLst>
            <a:ext uri="{FF2B5EF4-FFF2-40B4-BE49-F238E27FC236}">
              <a16:creationId xmlns:a16="http://schemas.microsoft.com/office/drawing/2014/main" id="{A6D55DAE-957A-4EE6-A603-5F16A062B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16</xdr:row>
      <xdr:rowOff>114301</xdr:rowOff>
    </xdr:from>
    <xdr:to>
      <xdr:col>18</xdr:col>
      <xdr:colOff>406400</xdr:colOff>
      <xdr:row>27</xdr:row>
      <xdr:rowOff>158750</xdr:rowOff>
    </xdr:to>
    <xdr:grpSp>
      <xdr:nvGrpSpPr>
        <xdr:cNvPr id="59" name="Group 58">
          <a:extLst>
            <a:ext uri="{FF2B5EF4-FFF2-40B4-BE49-F238E27FC236}">
              <a16:creationId xmlns:a16="http://schemas.microsoft.com/office/drawing/2014/main" id="{4960D557-E901-43AF-576C-79E301DE1B62}"/>
            </a:ext>
          </a:extLst>
        </xdr:cNvPr>
        <xdr:cNvGrpSpPr/>
      </xdr:nvGrpSpPr>
      <xdr:grpSpPr>
        <a:xfrm>
          <a:off x="1993900" y="3060701"/>
          <a:ext cx="9385300" cy="2070099"/>
          <a:chOff x="7042150" y="914401"/>
          <a:chExt cx="4413250" cy="2451100"/>
        </a:xfrm>
      </xdr:grpSpPr>
      <xdr:sp macro="" textlink="">
        <xdr:nvSpPr>
          <xdr:cNvPr id="57" name="Rectangle: Rounded Corners 56">
            <a:extLst>
              <a:ext uri="{FF2B5EF4-FFF2-40B4-BE49-F238E27FC236}">
                <a16:creationId xmlns:a16="http://schemas.microsoft.com/office/drawing/2014/main" id="{19E607CA-147D-4272-B9FA-8E5000D5FD84}"/>
              </a:ext>
            </a:extLst>
          </xdr:cNvPr>
          <xdr:cNvSpPr/>
        </xdr:nvSpPr>
        <xdr:spPr>
          <a:xfrm>
            <a:off x="7042150" y="914401"/>
            <a:ext cx="4413250" cy="2451100"/>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a:extLst>
              <a:ext uri="{FF2B5EF4-FFF2-40B4-BE49-F238E27FC236}">
                <a16:creationId xmlns:a16="http://schemas.microsoft.com/office/drawing/2014/main" id="{B89789F4-3861-47BE-9D75-33BE42A9C754}"/>
              </a:ext>
            </a:extLst>
          </xdr:cNvPr>
          <xdr:cNvGraphicFramePr>
            <a:graphicFrameLocks/>
          </xdr:cNvGraphicFramePr>
        </xdr:nvGraphicFramePr>
        <xdr:xfrm>
          <a:off x="7140986" y="1079500"/>
          <a:ext cx="4035782" cy="213969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590550</xdr:colOff>
      <xdr:row>4</xdr:row>
      <xdr:rowOff>165101</xdr:rowOff>
    </xdr:from>
    <xdr:to>
      <xdr:col>18</xdr:col>
      <xdr:colOff>380999</xdr:colOff>
      <xdr:row>16</xdr:row>
      <xdr:rowOff>19050</xdr:rowOff>
    </xdr:to>
    <xdr:grpSp>
      <xdr:nvGrpSpPr>
        <xdr:cNvPr id="14" name="Group 13">
          <a:extLst>
            <a:ext uri="{FF2B5EF4-FFF2-40B4-BE49-F238E27FC236}">
              <a16:creationId xmlns:a16="http://schemas.microsoft.com/office/drawing/2014/main" id="{D48AFCA7-3A97-66AF-3ED3-52A2109EC32B}"/>
            </a:ext>
          </a:extLst>
        </xdr:cNvPr>
        <xdr:cNvGrpSpPr/>
      </xdr:nvGrpSpPr>
      <xdr:grpSpPr>
        <a:xfrm>
          <a:off x="6686550" y="901701"/>
          <a:ext cx="4667249" cy="2063749"/>
          <a:chOff x="6680199" y="1016001"/>
          <a:chExt cx="3613150" cy="2063749"/>
        </a:xfrm>
      </xdr:grpSpPr>
      <xdr:sp macro="" textlink="">
        <xdr:nvSpPr>
          <xdr:cNvPr id="10" name="Rectangle: Rounded Corners 9">
            <a:extLst>
              <a:ext uri="{FF2B5EF4-FFF2-40B4-BE49-F238E27FC236}">
                <a16:creationId xmlns:a16="http://schemas.microsoft.com/office/drawing/2014/main" id="{DDBB3282-6B3E-BE3E-04CF-4074BAED402D}"/>
              </a:ext>
            </a:extLst>
          </xdr:cNvPr>
          <xdr:cNvSpPr/>
        </xdr:nvSpPr>
        <xdr:spPr>
          <a:xfrm>
            <a:off x="6680199" y="1016001"/>
            <a:ext cx="3613150" cy="2063749"/>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B1DF71C4-3198-4C05-8A55-5FA6E5137896}"/>
              </a:ext>
            </a:extLst>
          </xdr:cNvPr>
          <xdr:cNvGraphicFramePr>
            <a:graphicFrameLocks/>
          </xdr:cNvGraphicFramePr>
        </xdr:nvGraphicFramePr>
        <xdr:xfrm>
          <a:off x="6838950" y="1130300"/>
          <a:ext cx="3300984" cy="180136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139697</xdr:colOff>
      <xdr:row>28</xdr:row>
      <xdr:rowOff>114301</xdr:rowOff>
    </xdr:from>
    <xdr:to>
      <xdr:col>10</xdr:col>
      <xdr:colOff>535937</xdr:colOff>
      <xdr:row>39</xdr:row>
      <xdr:rowOff>152400</xdr:rowOff>
    </xdr:to>
    <xdr:sp macro="" textlink="">
      <xdr:nvSpPr>
        <xdr:cNvPr id="19" name="Rectangle: Rounded Corners 18">
          <a:extLst>
            <a:ext uri="{FF2B5EF4-FFF2-40B4-BE49-F238E27FC236}">
              <a16:creationId xmlns:a16="http://schemas.microsoft.com/office/drawing/2014/main" id="{C28E8353-E85F-434D-9658-6A27B75C2B27}"/>
            </a:ext>
          </a:extLst>
        </xdr:cNvPr>
        <xdr:cNvSpPr/>
      </xdr:nvSpPr>
      <xdr:spPr>
        <a:xfrm>
          <a:off x="1968497" y="5270501"/>
          <a:ext cx="4663440" cy="2063749"/>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171450</xdr:colOff>
      <xdr:row>29</xdr:row>
      <xdr:rowOff>38100</xdr:rowOff>
    </xdr:from>
    <xdr:to>
      <xdr:col>10</xdr:col>
      <xdr:colOff>476250</xdr:colOff>
      <xdr:row>38</xdr:row>
      <xdr:rowOff>114300</xdr:rowOff>
    </xdr:to>
    <xdr:graphicFrame macro="">
      <xdr:nvGraphicFramePr>
        <xdr:cNvPr id="18" name="Chart 17">
          <a:extLst>
            <a:ext uri="{FF2B5EF4-FFF2-40B4-BE49-F238E27FC236}">
              <a16:creationId xmlns:a16="http://schemas.microsoft.com/office/drawing/2014/main" id="{4B675E38-644A-4961-8A4F-CB058F574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19047</xdr:colOff>
      <xdr:row>28</xdr:row>
      <xdr:rowOff>120651</xdr:rowOff>
    </xdr:from>
    <xdr:to>
      <xdr:col>18</xdr:col>
      <xdr:colOff>415287</xdr:colOff>
      <xdr:row>39</xdr:row>
      <xdr:rowOff>158750</xdr:rowOff>
    </xdr:to>
    <xdr:sp macro="" textlink="">
      <xdr:nvSpPr>
        <xdr:cNvPr id="21" name="Rectangle: Rounded Corners 20">
          <a:extLst>
            <a:ext uri="{FF2B5EF4-FFF2-40B4-BE49-F238E27FC236}">
              <a16:creationId xmlns:a16="http://schemas.microsoft.com/office/drawing/2014/main" id="{1968E4C6-8C22-421B-8F7E-03DCAE60DD67}"/>
            </a:ext>
          </a:extLst>
        </xdr:cNvPr>
        <xdr:cNvSpPr/>
      </xdr:nvSpPr>
      <xdr:spPr>
        <a:xfrm>
          <a:off x="6724647" y="5276851"/>
          <a:ext cx="4663440" cy="2063749"/>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88900</xdr:colOff>
      <xdr:row>29</xdr:row>
      <xdr:rowOff>12700</xdr:rowOff>
    </xdr:from>
    <xdr:to>
      <xdr:col>18</xdr:col>
      <xdr:colOff>393700</xdr:colOff>
      <xdr:row>39</xdr:row>
      <xdr:rowOff>76200</xdr:rowOff>
    </xdr:to>
    <xdr:graphicFrame macro="">
      <xdr:nvGraphicFramePr>
        <xdr:cNvPr id="20" name="Chart 19">
          <a:extLst>
            <a:ext uri="{FF2B5EF4-FFF2-40B4-BE49-F238E27FC236}">
              <a16:creationId xmlns:a16="http://schemas.microsoft.com/office/drawing/2014/main" id="{27247E57-FED6-4563-9A3A-00D6BBF8D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425450</xdr:colOff>
      <xdr:row>40</xdr:row>
      <xdr:rowOff>120650</xdr:rowOff>
    </xdr:from>
    <xdr:to>
      <xdr:col>18</xdr:col>
      <xdr:colOff>165100</xdr:colOff>
      <xdr:row>50</xdr:row>
      <xdr:rowOff>95250</xdr:rowOff>
    </xdr:to>
    <xdr:graphicFrame macro="">
      <xdr:nvGraphicFramePr>
        <xdr:cNvPr id="22" name="Chart 21">
          <a:extLst>
            <a:ext uri="{FF2B5EF4-FFF2-40B4-BE49-F238E27FC236}">
              <a16:creationId xmlns:a16="http://schemas.microsoft.com/office/drawing/2014/main" id="{BCD0523A-AF19-4D88-94FE-9E30E4A87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19047</xdr:colOff>
      <xdr:row>51</xdr:row>
      <xdr:rowOff>165101</xdr:rowOff>
    </xdr:from>
    <xdr:to>
      <xdr:col>18</xdr:col>
      <xdr:colOff>415287</xdr:colOff>
      <xdr:row>63</xdr:row>
      <xdr:rowOff>19050</xdr:rowOff>
    </xdr:to>
    <xdr:sp macro="" textlink="">
      <xdr:nvSpPr>
        <xdr:cNvPr id="40" name="Rectangle: Rounded Corners 39">
          <a:extLst>
            <a:ext uri="{FF2B5EF4-FFF2-40B4-BE49-F238E27FC236}">
              <a16:creationId xmlns:a16="http://schemas.microsoft.com/office/drawing/2014/main" id="{E30FFC42-DB9E-4FAA-AB8B-94E87AABA0B3}"/>
            </a:ext>
          </a:extLst>
        </xdr:cNvPr>
        <xdr:cNvSpPr/>
      </xdr:nvSpPr>
      <xdr:spPr>
        <a:xfrm>
          <a:off x="6724647" y="9556751"/>
          <a:ext cx="4663440" cy="2063749"/>
        </a:xfrm>
        <a:prstGeom prst="roundRect">
          <a:avLst>
            <a:gd name="adj" fmla="val 63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114299</xdr:colOff>
      <xdr:row>52</xdr:row>
      <xdr:rowOff>107950</xdr:rowOff>
    </xdr:from>
    <xdr:to>
      <xdr:col>18</xdr:col>
      <xdr:colOff>304800</xdr:colOff>
      <xdr:row>62</xdr:row>
      <xdr:rowOff>114300</xdr:rowOff>
    </xdr:to>
    <xdr:graphicFrame macro="">
      <xdr:nvGraphicFramePr>
        <xdr:cNvPr id="41" name="Chart 40">
          <a:extLst>
            <a:ext uri="{FF2B5EF4-FFF2-40B4-BE49-F238E27FC236}">
              <a16:creationId xmlns:a16="http://schemas.microsoft.com/office/drawing/2014/main" id="{E08DE4E6-8788-49EA-AC53-E372DD19D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241300</xdr:colOff>
      <xdr:row>17</xdr:row>
      <xdr:rowOff>120650</xdr:rowOff>
    </xdr:from>
    <xdr:to>
      <xdr:col>2</xdr:col>
      <xdr:colOff>565150</xdr:colOff>
      <xdr:row>24</xdr:row>
      <xdr:rowOff>114300</xdr:rowOff>
    </xdr:to>
    <mc:AlternateContent xmlns:mc="http://schemas.openxmlformats.org/markup-compatibility/2006">
      <mc:Choice xmlns:a14="http://schemas.microsoft.com/office/drawing/2010/main" Requires="a14">
        <xdr:graphicFrame macro="">
          <xdr:nvGraphicFramePr>
            <xdr:cNvPr id="52" name="Department">
              <a:extLst>
                <a:ext uri="{FF2B5EF4-FFF2-40B4-BE49-F238E27FC236}">
                  <a16:creationId xmlns:a16="http://schemas.microsoft.com/office/drawing/2014/main" id="{B4A193D2-DD53-5F36-1B98-DEFC0674A9E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41300" y="3251200"/>
              <a:ext cx="154305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52</xdr:row>
      <xdr:rowOff>114300</xdr:rowOff>
    </xdr:from>
    <xdr:to>
      <xdr:col>2</xdr:col>
      <xdr:colOff>596900</xdr:colOff>
      <xdr:row>56</xdr:row>
      <xdr:rowOff>158750</xdr:rowOff>
    </xdr:to>
    <mc:AlternateContent xmlns:mc="http://schemas.openxmlformats.org/markup-compatibility/2006">
      <mc:Choice xmlns:a14="http://schemas.microsoft.com/office/drawing/2010/main" Requires="a14">
        <xdr:graphicFrame macro="">
          <xdr:nvGraphicFramePr>
            <xdr:cNvPr id="53" name="Gender">
              <a:extLst>
                <a:ext uri="{FF2B5EF4-FFF2-40B4-BE49-F238E27FC236}">
                  <a16:creationId xmlns:a16="http://schemas.microsoft.com/office/drawing/2014/main" id="{0502C487-5AC3-099B-9411-0AC7E2D162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54000" y="9690100"/>
              <a:ext cx="1562100" cy="78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241300</xdr:colOff>
      <xdr:row>37</xdr:row>
      <xdr:rowOff>177800</xdr:rowOff>
    </xdr:from>
    <xdr:to>
      <xdr:col>2</xdr:col>
      <xdr:colOff>577850</xdr:colOff>
      <xdr:row>52</xdr:row>
      <xdr:rowOff>34922</xdr:rowOff>
    </xdr:to>
    <mc:AlternateContent xmlns:mc="http://schemas.openxmlformats.org/markup-compatibility/2006">
      <mc:Choice xmlns:a14="http://schemas.microsoft.com/office/drawing/2010/main" Requires="a14">
        <xdr:graphicFrame macro="">
          <xdr:nvGraphicFramePr>
            <xdr:cNvPr id="54" name="JobRole">
              <a:extLst>
                <a:ext uri="{FF2B5EF4-FFF2-40B4-BE49-F238E27FC236}">
                  <a16:creationId xmlns:a16="http://schemas.microsoft.com/office/drawing/2014/main" id="{25D15B25-CC2D-72E6-3B74-7EFE233328C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41300" y="6991350"/>
              <a:ext cx="155575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234950</xdr:colOff>
      <xdr:row>30</xdr:row>
      <xdr:rowOff>6350</xdr:rowOff>
    </xdr:from>
    <xdr:to>
      <xdr:col>2</xdr:col>
      <xdr:colOff>565150</xdr:colOff>
      <xdr:row>37</xdr:row>
      <xdr:rowOff>19050</xdr:rowOff>
    </xdr:to>
    <mc:AlternateContent xmlns:mc="http://schemas.openxmlformats.org/markup-compatibility/2006">
      <mc:Choice xmlns:a14="http://schemas.microsoft.com/office/drawing/2010/main" Requires="a14">
        <xdr:graphicFrame macro="">
          <xdr:nvGraphicFramePr>
            <xdr:cNvPr id="55" name="MaritalStatus">
              <a:extLst>
                <a:ext uri="{FF2B5EF4-FFF2-40B4-BE49-F238E27FC236}">
                  <a16:creationId xmlns:a16="http://schemas.microsoft.com/office/drawing/2014/main" id="{DC40D396-8E3C-12C2-F043-F8C64ADCA954}"/>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234950" y="5530850"/>
              <a:ext cx="15494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25</xdr:row>
      <xdr:rowOff>146050</xdr:rowOff>
    </xdr:from>
    <xdr:to>
      <xdr:col>2</xdr:col>
      <xdr:colOff>565150</xdr:colOff>
      <xdr:row>29</xdr:row>
      <xdr:rowOff>88900</xdr:rowOff>
    </xdr:to>
    <mc:AlternateContent xmlns:mc="http://schemas.openxmlformats.org/markup-compatibility/2006">
      <mc:Choice xmlns:a14="http://schemas.microsoft.com/office/drawing/2010/main" Requires="a14">
        <xdr:graphicFrame macro="">
          <xdr:nvGraphicFramePr>
            <xdr:cNvPr id="60" name="OverTime">
              <a:extLst>
                <a:ext uri="{FF2B5EF4-FFF2-40B4-BE49-F238E27FC236}">
                  <a16:creationId xmlns:a16="http://schemas.microsoft.com/office/drawing/2014/main" id="{0974D2CC-4A1C-4306-5852-E49EAA896A4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228600" y="4749800"/>
              <a:ext cx="155575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241300</xdr:colOff>
      <xdr:row>5</xdr:row>
      <xdr:rowOff>50800</xdr:rowOff>
    </xdr:from>
    <xdr:to>
      <xdr:col>2</xdr:col>
      <xdr:colOff>584200</xdr:colOff>
      <xdr:row>17</xdr:row>
      <xdr:rowOff>101600</xdr:rowOff>
    </xdr:to>
    <mc:AlternateContent xmlns:mc="http://schemas.openxmlformats.org/markup-compatibility/2006">
      <mc:Choice xmlns:a14="http://schemas.microsoft.com/office/drawing/2010/main" Requires="a14">
        <xdr:graphicFrame macro="">
          <xdr:nvGraphicFramePr>
            <xdr:cNvPr id="61" name="EducationField">
              <a:extLst>
                <a:ext uri="{FF2B5EF4-FFF2-40B4-BE49-F238E27FC236}">
                  <a16:creationId xmlns:a16="http://schemas.microsoft.com/office/drawing/2014/main" id="{0334765C-8FE0-BEDE-DEC7-35F3F519C326}"/>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241300" y="971550"/>
              <a:ext cx="1562100" cy="226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215900</xdr:colOff>
      <xdr:row>0</xdr:row>
      <xdr:rowOff>57150</xdr:rowOff>
    </xdr:from>
    <xdr:to>
      <xdr:col>18</xdr:col>
      <xdr:colOff>158750</xdr:colOff>
      <xdr:row>24</xdr:row>
      <xdr:rowOff>101600</xdr:rowOff>
    </xdr:to>
    <xdr:sp macro="" textlink="">
      <xdr:nvSpPr>
        <xdr:cNvPr id="2" name="Rectangle: Rounded Corners 1">
          <a:extLst>
            <a:ext uri="{FF2B5EF4-FFF2-40B4-BE49-F238E27FC236}">
              <a16:creationId xmlns:a16="http://schemas.microsoft.com/office/drawing/2014/main" id="{F01C28C0-0380-4520-8C00-1EA9C19E86A3}"/>
            </a:ext>
          </a:extLst>
        </xdr:cNvPr>
        <xdr:cNvSpPr/>
      </xdr:nvSpPr>
      <xdr:spPr>
        <a:xfrm>
          <a:off x="215900" y="57150"/>
          <a:ext cx="10915650" cy="4464050"/>
        </a:xfrm>
        <a:prstGeom prst="roundRect">
          <a:avLst>
            <a:gd name="adj" fmla="val 887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431800</xdr:colOff>
      <xdr:row>1</xdr:row>
      <xdr:rowOff>63499</xdr:rowOff>
    </xdr:from>
    <xdr:ext cx="10117234" cy="3896677"/>
    <xdr:sp macro="" textlink="">
      <xdr:nvSpPr>
        <xdr:cNvPr id="3" name="TextBox 2">
          <a:extLst>
            <a:ext uri="{FF2B5EF4-FFF2-40B4-BE49-F238E27FC236}">
              <a16:creationId xmlns:a16="http://schemas.microsoft.com/office/drawing/2014/main" id="{7C2B48E7-DE81-424B-AC9B-F7D118D0A81D}"/>
            </a:ext>
          </a:extLst>
        </xdr:cNvPr>
        <xdr:cNvSpPr txBox="1"/>
      </xdr:nvSpPr>
      <xdr:spPr>
        <a:xfrm>
          <a:off x="431800" y="247649"/>
          <a:ext cx="10117234" cy="3896677"/>
        </a:xfrm>
        <a:prstGeom prst="roundRect">
          <a:avLst>
            <a:gd name="adj" fmla="val 5678"/>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800" b="1"/>
            <a:t>📌 Key Insights</a:t>
          </a:r>
        </a:p>
        <a:p>
          <a:pPr algn="ctr"/>
          <a:r>
            <a:rPr lang="en-US" sz="2800"/>
            <a:t>• Overall Attrition: </a:t>
          </a:r>
          <a:r>
            <a:rPr lang="en-US" sz="2800" b="1"/>
            <a:t>16%</a:t>
          </a:r>
          <a:endParaRPr lang="en-US" sz="2800"/>
        </a:p>
        <a:p>
          <a:pPr algn="ctr"/>
          <a:r>
            <a:rPr lang="en-US" sz="2800"/>
            <a:t>• Sales has the highest attrition (</a:t>
          </a:r>
          <a:r>
            <a:rPr lang="en-US" sz="2800" b="1"/>
            <a:t>20.63%</a:t>
          </a:r>
          <a:r>
            <a:rPr lang="en-US" sz="2800"/>
            <a:t>)</a:t>
          </a:r>
        </a:p>
        <a:p>
          <a:pPr algn="ctr"/>
          <a:r>
            <a:rPr lang="en-US" sz="2800"/>
            <a:t>• Employees aged </a:t>
          </a:r>
          <a:r>
            <a:rPr lang="en-US" sz="2800" b="1"/>
            <a:t>18–24</a:t>
          </a:r>
          <a:r>
            <a:rPr lang="en-US" sz="2800"/>
            <a:t> leave the most (</a:t>
          </a:r>
          <a:r>
            <a:rPr lang="en-US" sz="2800" b="1"/>
            <a:t>39.18%</a:t>
          </a:r>
          <a:r>
            <a:rPr lang="en-US" sz="2800"/>
            <a:t>)</a:t>
          </a:r>
        </a:p>
        <a:p>
          <a:pPr algn="ctr"/>
          <a:r>
            <a:rPr lang="en-US" sz="2800"/>
            <a:t>• Employees with overtime are </a:t>
          </a:r>
          <a:r>
            <a:rPr lang="en-US" sz="2800" b="1"/>
            <a:t>3×</a:t>
          </a:r>
          <a:r>
            <a:rPr lang="en-US" sz="2800"/>
            <a:t> more likely to leave</a:t>
          </a:r>
        </a:p>
        <a:p>
          <a:pPr algn="ctr"/>
          <a:r>
            <a:rPr lang="en-US" sz="2800"/>
            <a:t>• Employees earning </a:t>
          </a:r>
          <a:r>
            <a:rPr lang="en-US" sz="2800" b="1"/>
            <a:t>&lt;3000</a:t>
          </a:r>
          <a:r>
            <a:rPr lang="en-US" sz="2800"/>
            <a:t> have the highest attrition</a:t>
          </a:r>
        </a:p>
        <a:p>
          <a:pPr algn="ctr"/>
          <a:endParaRPr lang="en-US" sz="28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2500001" backgroundQuery="1" createdVersion="8" refreshedVersion="8" minRefreshableVersion="3" recordCount="0" supportSubquery="1" supportAdvancedDrill="1" xr:uid="{6F37BF31-D252-4A76-946B-A23FE0C887A4}">
  <cacheSource type="external" connectionId="2"/>
  <cacheFields count="3">
    <cacheField name="[HR-Employee-Attrition].[Department].[Department]" caption="Department" numFmtId="0" hierarchy="4" level="1">
      <sharedItems count="3">
        <s v="Human Resources"/>
        <s v="Research &amp; Development"/>
        <s v="Sales"/>
      </sharedItems>
    </cacheField>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2" memberValueDatatype="20" unbalanced="0"/>
    <cacheHierarchy uniqueName="[HR-Employee-Attrition].[Attrition]" caption="Attrition" attribute="1" defaultMemberUniqueName="[HR-Employee-Attrition].[Attrition].[All]" allUniqueName="[HR-Employee-Attrition].[Attrition].[All]" dimensionUniqueName="[HR-Employee-Attrition]" displayFolder="" count="2"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2" memberValueDatatype="130" unbalanced="0"/>
    <cacheHierarchy uniqueName="[HR-Employee-Attrition].[DailyRate]" caption="DailyRate" attribute="1" defaultMemberUniqueName="[HR-Employee-Attrition].[DailyRate].[All]" allUniqueName="[HR-Employee-Attrition].[DailyRate].[All]" dimensionUniqueName="[HR-Employee-Attrition]" displayFolder="" count="2"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fieldsUsage count="2">
        <fieldUsage x="-1"/>
        <fieldUsage x="0"/>
      </fieldsUsage>
    </cacheHierarchy>
    <cacheHierarchy uniqueName="[HR-Employee-Attrition].[DistanceFromHome]" caption="DistanceFromHome" attribute="1" defaultMemberUniqueName="[HR-Employee-Attrition].[DistanceFromHome].[All]" allUniqueName="[HR-Employee-Attrition].[DistanceFromHome].[All]" dimensionUniqueName="[HR-Employee-Attrition]" displayFolder="" count="2" memberValueDatatype="20" unbalanced="0"/>
    <cacheHierarchy uniqueName="[HR-Employee-Attrition].[Education]" caption="Education" attribute="1" defaultMemberUniqueName="[HR-Employee-Attrition].[Education].[All]" allUniqueName="[HR-Employee-Attrition].[Education].[All]" dimensionUniqueName="[HR-Employee-Attrition]" displayFolder="" count="2"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2"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2"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2"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2"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2" memberValueDatatype="20" unbalanced="0"/>
    <cacheHierarchy uniqueName="[HR-Employee-Attrition].[JobLevel]" caption="JobLevel" attribute="1" defaultMemberUniqueName="[HR-Employee-Attrition].[JobLevel].[All]" allUniqueName="[HR-Employee-Attrition].[JobLevel].[All]" dimensionUniqueName="[HR-Employee-Attrition]" displayFolder="" count="2"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2"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2"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2"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2" memberValueDatatype="20" unbalanced="0"/>
    <cacheHierarchy uniqueName="[HR-Employee-Attrition].[Over18]" caption="Over18" attribute="1" defaultMemberUniqueName="[HR-Employee-Attrition].[Over18].[All]" allUniqueName="[HR-Employee-Attrition].[Over18].[All]" dimensionUniqueName="[HR-Employee-Attrition]" displayFolder="" count="2"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2"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2"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2"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2"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2"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2"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2"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2"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2"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2"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2"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2" memberValueDatatype="20" unbalanced="0"/>
    <cacheHierarchy uniqueName="[HR-Employee-Attrition].[Age Group]" caption="Age Group" attribute="1" defaultMemberUniqueName="[HR-Employee-Attrition].[Age Group].[All]" allUniqueName="[HR-Employee-Attrition].[Age Group].[All]" dimensionUniqueName="[HR-Employee-Attrition]" displayFolder="" count="2"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2"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2"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2"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2"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1"/>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2731478" backgroundQuery="1" createdVersion="8" refreshedVersion="8" minRefreshableVersion="3" recordCount="0" supportSubquery="1" supportAdvancedDrill="1" xr:uid="{5063680D-18D3-4012-A4C2-CB7B986B5808}">
  <cacheSource type="external" connectionId="2"/>
  <cacheFields count="3">
    <cacheField name="[HR-Employee-Attrition].[Gender].[Gender]" caption="Gender" numFmtId="0" hierarchy="11" level="1">
      <sharedItems count="2">
        <s v="Female"/>
        <s v="Male"/>
      </sharedItems>
    </cacheField>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fieldsUsage count="2">
        <fieldUsage x="-1"/>
        <fieldUsage x="0"/>
      </fieldsUsage>
    </cacheHierarchy>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1"/>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3078701" backgroundQuery="1" createdVersion="8" refreshedVersion="8" minRefreshableVersion="3" recordCount="0" supportSubquery="1" supportAdvancedDrill="1" xr:uid="{3D15496F-5D20-4D1F-B91C-6E707C1A299D}">
  <cacheSource type="external" connectionId="2"/>
  <cacheFields count="3">
    <cacheField name="[HR-Employee-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fieldsUsage count="2">
        <fieldUsage x="-1"/>
        <fieldUsage x="0"/>
      </fieldsUsage>
    </cacheHierarchy>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1"/>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3425925" backgroundQuery="1" createdVersion="8" refreshedVersion="8" minRefreshableVersion="3" recordCount="0" supportSubquery="1" supportAdvancedDrill="1" xr:uid="{71E2F8DB-59D8-4B66-A14E-A3A7F7C45E2D}">
  <cacheSource type="external" connectionId="2"/>
  <cacheFields count="3">
    <cacheField name="[HR-Employee-Attrition].[MaritalStatus].[MaritalStatus]" caption="MaritalStatus" numFmtId="0" hierarchy="17" level="1">
      <sharedItems count="3">
        <s v="Divorced"/>
        <s v="Married"/>
        <s v="Single"/>
      </sharedItems>
    </cacheField>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fieldsUsage count="2">
        <fieldUsage x="-1"/>
        <fieldUsage x="0"/>
      </fieldsUsage>
    </cacheHierarchy>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1"/>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3888887" backgroundQuery="1" createdVersion="8" refreshedVersion="8" minRefreshableVersion="3" recordCount="0" supportSubquery="1" supportAdvancedDrill="1" xr:uid="{11370C5F-474B-45CB-A5F5-72C94E13B679}">
  <cacheSource type="external" connectionId="2"/>
  <cacheFields count="3">
    <cacheField name="[HR-Employee-Attrition].[YearsWithCompanyBucket].[YearsWithCompanyBucket]" caption="YearsWithCompanyBucket" numFmtId="0" hierarchy="39" level="1">
      <sharedItems count="6">
        <s v="0 - 2 Years"/>
        <s v="11 - 15 Years"/>
        <s v="16 - 20 Years"/>
        <s v="20+ Years"/>
        <s v="3 - 5 Years"/>
        <s v="6 - 10 Years"/>
      </sharedItems>
    </cacheField>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2" memberValueDatatype="130" unbalanced="0">
      <fieldsUsage count="2">
        <fieldUsage x="-1"/>
        <fieldUsage x="0"/>
      </fieldsUsage>
    </cacheHierarchy>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1"/>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4120371" backgroundQuery="1" createdVersion="8" refreshedVersion="8" minRefreshableVersion="3" recordCount="0" supportSubquery="1" supportAdvancedDrill="1" xr:uid="{AEB46B78-D325-4D30-8381-D496A2CB341D}">
  <cacheSource type="external" connectionId="2"/>
  <cacheFields count="3">
    <cacheField name="[HR-Employee-Attrition].[Age Group].[Age Group]" caption="Age Group" numFmtId="0" hierarchy="35" level="1">
      <sharedItems count="7">
        <s v="18-24"/>
        <s v="25-32"/>
        <s v="33-38"/>
        <s v="39-44"/>
        <s v="45-50"/>
        <s v="51-54"/>
        <s v="55-60"/>
      </sharedItems>
    </cacheField>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2" memberValueDatatype="130" unbalanced="0">
      <fieldsUsage count="2">
        <fieldUsage x="-1"/>
        <fieldUsage x="0"/>
      </fieldsUsage>
    </cacheHierarchy>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1"/>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423611" backgroundQuery="1" createdVersion="8" refreshedVersion="8" minRefreshableVersion="3" recordCount="0" supportSubquery="1" supportAdvancedDrill="1" xr:uid="{7ACCE19D-5E0F-4917-B8AC-8A06A657EF70}">
  <cacheSource type="external" connectionId="2"/>
  <cacheFields count="2">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1"/>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0"/>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4351848" backgroundQuery="1" createdVersion="8" refreshedVersion="8" minRefreshableVersion="3" recordCount="0" supportSubquery="1" supportAdvancedDrill="1" xr:uid="{2DDBCC87-50A4-4F46-9072-BACF7FF129F4}">
  <cacheSource type="external" connectionId="2"/>
  <cacheFields count="2">
    <cacheField name="[Measures].[Average of Age]" caption="Average of Age" numFmtId="0" hierarchy="65"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1"/>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4467594" backgroundQuery="1" createdVersion="8" refreshedVersion="8" minRefreshableVersion="3" recordCount="0" supportSubquery="1" supportAdvancedDrill="1" xr:uid="{5C7B5BF4-7AB7-4E2B-AF68-7A19CD075C53}">
  <cacheSource type="external" connectionId="2"/>
  <cacheFields count="2">
    <cacheField name="[Measures].[Average of MonthlyIncome]" caption="Average of MonthlyIncome" numFmtId="0" hierarchy="64"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1"/>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4699072" backgroundQuery="1" createdVersion="8" refreshedVersion="8" minRefreshableVersion="3" recordCount="0" supportSubquery="1" supportAdvancedDrill="1" xr:uid="{DA9D3651-DA25-4C10-8C35-E18DC0304560}">
  <cacheSource type="external" connectionId="2"/>
  <cacheFields count="2">
    <cacheField name="[Measures].[Employees Left]" caption="Employees Left" numFmtId="0" hierarchy="40"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1"/>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oneField="1">
      <fieldsUsage count="1">
        <fieldUsage x="0"/>
      </fieldsUsage>
    </cacheHierarchy>
    <cacheHierarchy uniqueName="[Measures].[total employees]" caption="total employees" measure="1" displayFolder="" measureGroup="HR-Employee-Attrition" count="0"/>
    <cacheHierarchy uniqueName="[Measures].[Attrition Rate]" caption="Attrition Rate" measure="1" displayFolder="" measureGroup="HR-Employee-Attrition" count="0"/>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5046295" backgroundQuery="1" createdVersion="8" refreshedVersion="8" minRefreshableVersion="3" recordCount="0" supportSubquery="1" supportAdvancedDrill="1" xr:uid="{01A4001A-63D8-4628-AC91-1602323E2B87}">
  <cacheSource type="external" connectionId="2"/>
  <cacheFields count="3">
    <cacheField name="[Measures].[Attrition Rate]" caption="Attrition Rate" numFmtId="0" hierarchy="42" level="32767"/>
    <cacheField name="[HR-Employee-Attrition].[Income Bucket].[Income Bucket]" caption="Income Bucket" numFmtId="0" hierarchy="36" level="1">
      <sharedItems count="6">
        <s v="0 - 2,999"/>
        <s v="12,000 - 14,999"/>
        <s v="18,000 - 20,000"/>
        <s v="3,000 - 5,999"/>
        <s v="6,000 - 8,999"/>
        <s v="9,000 - 11,999"/>
      </sharedItems>
    </cacheField>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2" memberValueDatatype="130" unbalanced="0">
      <fieldsUsage count="2">
        <fieldUsage x="-1"/>
        <fieldUsage x="1"/>
      </fieldsUsage>
    </cacheHierarchy>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0"/>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5393518" backgroundQuery="1" createdVersion="8" refreshedVersion="8" minRefreshableVersion="3" recordCount="0" supportSubquery="1" supportAdvancedDrill="1" xr:uid="{1C7F8DBE-5797-4BE3-8129-FD1D43205E23}">
  <cacheSource type="external" connectionId="2"/>
  <cacheFields count="4">
    <cacheField name="[Measures].[Attrition Rate]" caption="Attrition Rate" numFmtId="0" hierarchy="42" level="32767"/>
    <cacheField name="[HR-Employee-Attrition].[Income Bucket].[Income Bucket]" caption="Income Bucket" numFmtId="0" hierarchy="36" level="1">
      <sharedItems count="6">
        <s v="0 - 2,999"/>
        <s v="12,000 - 14,999"/>
        <s v="18,000 - 20,000"/>
        <s v="3,000 - 5,999"/>
        <s v="6,000 - 8,999"/>
        <s v="9,000 - 11,999"/>
      </sharedItems>
    </cacheField>
    <cacheField name="[HR-Employee-Attrition].[JobSatisfaction Rating].[JobSatisfaction Rating]" caption="JobSatisfaction Rating" numFmtId="0" hierarchy="38" level="1">
      <sharedItems count="4">
        <s v="Bad"/>
        <s v="Best"/>
        <s v="Better"/>
        <s v="Good"/>
      </sharedItems>
    </cacheField>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3"/>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2" memberValueDatatype="130" unbalanced="0">
      <fieldsUsage count="2">
        <fieldUsage x="-1"/>
        <fieldUsage x="1"/>
      </fieldsUsage>
    </cacheHierarchy>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2" memberValueDatatype="130" unbalanced="0">
      <fieldsUsage count="2">
        <fieldUsage x="-1"/>
        <fieldUsage x="2"/>
      </fieldsUsage>
    </cacheHierarchy>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0"/>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5740741" backgroundQuery="1" createdVersion="8" refreshedVersion="8" minRefreshableVersion="3" recordCount="0" supportSubquery="1" supportAdvancedDrill="1" xr:uid="{33BE18E3-54F6-4187-ABFD-241AA9267033}">
  <cacheSource type="external" connectionId="2"/>
  <cacheFields count="3">
    <cacheField name="[HR-Employee-Attrition].[OverTime].[OverTime]" caption="OverTime" numFmtId="0" hierarchy="22" level="1">
      <sharedItems count="2">
        <s v="No"/>
        <s v="Yes"/>
      </sharedItems>
    </cacheField>
    <cacheField name="[Measures].[Attrition Rate]" caption="Attrition Rate" numFmtId="0" hierarchy="42"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2"/>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fieldsUsage count="2">
        <fieldUsage x="-1"/>
        <fieldUsage x="0"/>
      </fieldsUsage>
    </cacheHierarchy>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1"/>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585648" backgroundQuery="1" createdVersion="8" refreshedVersion="8" minRefreshableVersion="3" recordCount="0" supportSubquery="1" supportAdvancedDrill="1" xr:uid="{594EFE70-2545-40BB-8029-AAA09F84CF7D}">
  <cacheSource type="external" connectionId="2"/>
  <cacheFields count="2">
    <cacheField name="[Measures].[total employees]" caption="total employees" numFmtId="0" hierarchy="41" level="32767"/>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1"/>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oneField="1">
      <fieldsUsage count="1">
        <fieldUsage x="0"/>
      </fieldsUsage>
    </cacheHierarchy>
    <cacheHierarchy uniqueName="[Measures].[Attrition Rate]" caption="Attrition Rate" measure="1" displayFolder="" measureGroup="HR-Employee-Attrition" count="0"/>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30566319442" backgroundQuery="1" createdVersion="8" refreshedVersion="8" minRefreshableVersion="3" recordCount="0" supportSubquery="1" supportAdvancedDrill="1" xr:uid="{73725130-7D6C-4876-8220-07F1471A31D9}">
  <cacheSource type="external" connectionId="2"/>
  <cacheFields count="4">
    <cacheField name="[Measures].[Attrition Rate]" caption="Attrition Rate" numFmtId="0" hierarchy="42" level="32767"/>
    <cacheField name="[HR-Employee-Attrition].[Income Bucket].[Income Bucket]" caption="Income Bucket" numFmtId="0" hierarchy="36" level="1">
      <sharedItems count="6">
        <s v="0 - 2,999"/>
        <s v="12,000 - 14,999"/>
        <s v="18,000 - 20,000"/>
        <s v="3,000 - 5,999"/>
        <s v="6,000 - 8,999"/>
        <s v="9,000 - 11,999"/>
      </sharedItems>
    </cacheField>
    <cacheField name="[HR-Employee-Attrition].[WLB Rating].[WLB Rating]" caption="WLB Rating" numFmtId="0" hierarchy="37" level="1">
      <sharedItems count="4">
        <s v="Bad"/>
        <s v="Best"/>
        <s v="Better"/>
        <s v="Good"/>
      </sharedItems>
    </cacheField>
    <cacheField name="[HR-Employee-Attrition].[EducationField].[EducationField]" caption="EducationField" numFmtId="0" hierarchy="7" level="1">
      <sharedItems containsSemiMixedTypes="0" containsNonDate="0" containsString="0"/>
    </cacheField>
  </cacheFields>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fieldsUsage count="2">
        <fieldUsage x="-1"/>
        <fieldUsage x="3"/>
      </fieldsUsage>
    </cacheHierarchy>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2" memberValueDatatype="130" unbalanced="0">
      <fieldsUsage count="2">
        <fieldUsage x="-1"/>
        <fieldUsage x="1"/>
      </fieldsUsage>
    </cacheHierarchy>
    <cacheHierarchy uniqueName="[HR-Employee-Attrition].[WLB Rating]" caption="WLB Rating" attribute="1" defaultMemberUniqueName="[HR-Employee-Attrition].[WLB Rating].[All]" allUniqueName="[HR-Employee-Attrition].[WLB Rating].[All]" dimensionUniqueName="[HR-Employee-Attrition]" displayFolder="" count="2" memberValueDatatype="130" unbalanced="0">
      <fieldsUsage count="2">
        <fieldUsage x="-1"/>
        <fieldUsage x="2"/>
      </fieldsUsage>
    </cacheHierarchy>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oneField="1">
      <fieldsUsage count="1">
        <fieldUsage x="0"/>
      </fieldsUsage>
    </cacheHierarchy>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dimensions count="2">
    <dimension name="HR-Employee-Attrition" uniqueName="[HR-Employee-Attrition]" caption="HR-Employee-Attrition"/>
    <dimension measure="1" name="Measures" uniqueName="[Measures]" caption="Measures"/>
  </dimensions>
  <measureGroups count="1">
    <measureGroup name="HR-Employee-Attrition" caption="HR-Employee-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LS" refreshedDate="46202.718004629627" backgroundQuery="1" createdVersion="3" refreshedVersion="8" minRefreshableVersion="3" recordCount="0" supportSubquery="1" supportAdvancedDrill="1" xr:uid="{1C2A6F46-EE4D-4BEB-A368-39EF294588E1}">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HR-Employee-Attrition].[Age]" caption="Age" attribute="1" defaultMemberUniqueName="[HR-Employee-Attrition].[Age].[All]" allUniqueName="[HR-Employee-Attrition].[Age].[All]" dimensionUniqueName="[HR-Employee-Attrition]" displayFolder="" count="0" memberValueDatatype="20" unbalanced="0"/>
    <cacheHierarchy uniqueName="[HR-Employee-Attrition].[Attrition]" caption="Attrition" attribute="1" defaultMemberUniqueName="[HR-Employee-Attrition].[Attrition].[All]" allUniqueName="[HR-Employee-Attrition].[Attrition].[All]" dimensionUniqueName="[HR-Employee-Attrition]" displayFolder="" count="0" memberValueDatatype="130" unbalanced="0"/>
    <cacheHierarchy uniqueName="[HR-Employee-Attrition].[BusinessTravel]" caption="BusinessTravel" attribute="1" defaultMemberUniqueName="[HR-Employee-Attrition].[BusinessTravel].[All]" allUniqueName="[HR-Employee-Attrition].[BusinessTravel].[All]" dimensionUniqueName="[HR-Employee-Attrition]" displayFolder="" count="0" memberValueDatatype="130" unbalanced="0"/>
    <cacheHierarchy uniqueName="[HR-Employee-Attrition].[DailyRate]" caption="DailyRate" attribute="1" defaultMemberUniqueName="[HR-Employee-Attrition].[DailyRate].[All]" allUniqueName="[HR-Employee-Attrition].[DailyRate].[All]" dimensionUniqueName="[HR-Employee-Attrition]" displayFolder="" count="0" memberValueDatatype="20" unbalanced="0"/>
    <cacheHierarchy uniqueName="[HR-Employee-Attrition].[Department]" caption="Department" attribute="1" defaultMemberUniqueName="[HR-Employee-Attrition].[Department].[All]" allUniqueName="[HR-Employee-Attrition].[Department].[All]" dimensionUniqueName="[HR-Employee-Attrition]" displayFolder="" count="2" memberValueDatatype="130" unbalanced="0"/>
    <cacheHierarchy uniqueName="[HR-Employee-Attrition].[DistanceFromHome]" caption="DistanceFromHome" attribute="1" defaultMemberUniqueName="[HR-Employee-Attrition].[DistanceFromHome].[All]" allUniqueName="[HR-Employee-Attrition].[DistanceFromHome].[All]" dimensionUniqueName="[HR-Employee-Attrition]" displayFolder="" count="0" memberValueDatatype="20" unbalanced="0"/>
    <cacheHierarchy uniqueName="[HR-Employee-Attrition].[Education]" caption="Education" attribute="1" defaultMemberUniqueName="[HR-Employee-Attrition].[Education].[All]" allUniqueName="[HR-Employee-Attrition].[Education].[All]" dimensionUniqueName="[HR-Employee-Attrition]" displayFolder="" count="0" memberValueDatatype="20" unbalanced="0"/>
    <cacheHierarchy uniqueName="[HR-Employee-Attrition].[EducationField]" caption="EducationField" attribute="1" defaultMemberUniqueName="[HR-Employee-Attrition].[EducationField].[All]" allUniqueName="[HR-Employee-Attrition].[EducationField].[All]" dimensionUniqueName="[HR-Employee-Attrition]" displayFolder="" count="2" memberValueDatatype="130" unbalanced="0"/>
    <cacheHierarchy uniqueName="[HR-Employee-Attrition].[EmployeeCount]" caption="EmployeeCount" attribute="1" defaultMemberUniqueName="[HR-Employee-Attrition].[EmployeeCount].[All]" allUniqueName="[HR-Employee-Attrition].[EmployeeCount].[All]" dimensionUniqueName="[HR-Employee-Attrition]" displayFolder="" count="0" memberValueDatatype="20" unbalanced="0"/>
    <cacheHierarchy uniqueName="[HR-Employee-Attrition].[EmployeeNumber]" caption="EmployeeNumber" attribute="1" defaultMemberUniqueName="[HR-Employee-Attrition].[EmployeeNumber].[All]" allUniqueName="[HR-Employee-Attrition].[EmployeeNumber].[All]" dimensionUniqueName="[HR-Employee-Attrition]" displayFolder="" count="0" memberValueDatatype="20" unbalanced="0"/>
    <cacheHierarchy uniqueName="[HR-Employee-Attrition].[EnvironmentSatisfaction]" caption="EnvironmentSatisfaction" attribute="1" defaultMemberUniqueName="[HR-Employee-Attrition].[EnvironmentSatisfaction].[All]" allUniqueName="[HR-Employee-Attrition].[EnvironmentSatisfaction].[All]" dimensionUniqueName="[HR-Employee-Attrition]" displayFolder="" count="0" memberValueDatatype="20" unbalanced="0"/>
    <cacheHierarchy uniqueName="[HR-Employee-Attrition].[Gender]" caption="Gender" attribute="1" defaultMemberUniqueName="[HR-Employee-Attrition].[Gender].[All]" allUniqueName="[HR-Employee-Attrition].[Gender].[All]" dimensionUniqueName="[HR-Employee-Attrition]" displayFolder="" count="2" memberValueDatatype="130" unbalanced="0"/>
    <cacheHierarchy uniqueName="[HR-Employee-Attrition].[HourlyRate]" caption="HourlyRate" attribute="1" defaultMemberUniqueName="[HR-Employee-Attrition].[HourlyRate].[All]" allUniqueName="[HR-Employee-Attrition].[HourlyRate].[All]" dimensionUniqueName="[HR-Employee-Attrition]" displayFolder="" count="0" memberValueDatatype="20" unbalanced="0"/>
    <cacheHierarchy uniqueName="[HR-Employee-Attrition].[JobInvolvement]" caption="JobInvolvement" attribute="1" defaultMemberUniqueName="[HR-Employee-Attrition].[JobInvolvement].[All]" allUniqueName="[HR-Employee-Attrition].[JobInvolvement].[All]" dimensionUniqueName="[HR-Employee-Attrition]" displayFolder="" count="0" memberValueDatatype="20" unbalanced="0"/>
    <cacheHierarchy uniqueName="[HR-Employee-Attrition].[JobLevel]" caption="JobLevel" attribute="1" defaultMemberUniqueName="[HR-Employee-Attrition].[JobLevel].[All]" allUniqueName="[HR-Employee-Attrition].[JobLevel].[All]" dimensionUniqueName="[HR-Employee-Attrition]" displayFolder="" count="0" memberValueDatatype="20" unbalanced="0"/>
    <cacheHierarchy uniqueName="[HR-Employee-Attrition].[JobRole]" caption="JobRole" attribute="1" defaultMemberUniqueName="[HR-Employee-Attrition].[JobRole].[All]" allUniqueName="[HR-Employee-Attrition].[JobRole].[All]" dimensionUniqueName="[HR-Employee-Attrition]" displayFolder="" count="2" memberValueDatatype="130" unbalanced="0"/>
    <cacheHierarchy uniqueName="[HR-Employee-Attrition].[JobSatisfaction]" caption="JobSatisfaction" attribute="1" defaultMemberUniqueName="[HR-Employee-Attrition].[JobSatisfaction].[All]" allUniqueName="[HR-Employee-Attrition].[JobSatisfaction].[All]" dimensionUniqueName="[HR-Employee-Attrition]" displayFolder="" count="0" memberValueDatatype="20" unbalanced="0"/>
    <cacheHierarchy uniqueName="[HR-Employee-Attrition].[MaritalStatus]" caption="MaritalStatus" attribute="1" defaultMemberUniqueName="[HR-Employee-Attrition].[MaritalStatus].[All]" allUniqueName="[HR-Employee-Attrition].[MaritalStatus].[All]" dimensionUniqueName="[HR-Employee-Attrition]" displayFolder="" count="2" memberValueDatatype="130" unbalanced="0"/>
    <cacheHierarchy uniqueName="[HR-Employee-Attrition].[MonthlyIncome]" caption="MonthlyIncome" attribute="1" defaultMemberUniqueName="[HR-Employee-Attrition].[MonthlyIncome].[All]" allUniqueName="[HR-Employee-Attrition].[MonthlyIncome].[All]" dimensionUniqueName="[HR-Employee-Attrition]" displayFolder="" count="0" memberValueDatatype="20" unbalanced="0"/>
    <cacheHierarchy uniqueName="[HR-Employee-Attrition].[MonthlyRate]" caption="MonthlyRate" attribute="1" defaultMemberUniqueName="[HR-Employee-Attrition].[MonthlyRate].[All]" allUniqueName="[HR-Employee-Attrition].[MonthlyRate].[All]" dimensionUniqueName="[HR-Employee-Attrition]" displayFolder="" count="0" memberValueDatatype="20" unbalanced="0"/>
    <cacheHierarchy uniqueName="[HR-Employee-Attrition].[NumCompaniesWorked]" caption="NumCompaniesWorked" attribute="1" defaultMemberUniqueName="[HR-Employee-Attrition].[NumCompaniesWorked].[All]" allUniqueName="[HR-Employee-Attrition].[NumCompaniesWorked].[All]" dimensionUniqueName="[HR-Employee-Attrition]" displayFolder="" count="0" memberValueDatatype="20" unbalanced="0"/>
    <cacheHierarchy uniqueName="[HR-Employee-Attrition].[Over18]" caption="Over18" attribute="1" defaultMemberUniqueName="[HR-Employee-Attrition].[Over18].[All]" allUniqueName="[HR-Employee-Attrition].[Over18].[All]" dimensionUniqueName="[HR-Employee-Attrition]" displayFolder="" count="0" memberValueDatatype="130" unbalanced="0"/>
    <cacheHierarchy uniqueName="[HR-Employee-Attrition].[OverTime]" caption="OverTime" attribute="1" defaultMemberUniqueName="[HR-Employee-Attrition].[OverTime].[All]" allUniqueName="[HR-Employee-Attrition].[OverTime].[All]" dimensionUniqueName="[HR-Employee-Attrition]" displayFolder="" count="2" memberValueDatatype="130" unbalanced="0"/>
    <cacheHierarchy uniqueName="[HR-Employee-Attrition].[PercentSalaryHike]" caption="PercentSalaryHike" attribute="1" defaultMemberUniqueName="[HR-Employee-Attrition].[PercentSalaryHike].[All]" allUniqueName="[HR-Employee-Attrition].[PercentSalaryHike].[All]" dimensionUniqueName="[HR-Employee-Attrition]" displayFolder="" count="0" memberValueDatatype="20" unbalanced="0"/>
    <cacheHierarchy uniqueName="[HR-Employee-Attrition].[PerformanceRating]" caption="PerformanceRating" attribute="1" defaultMemberUniqueName="[HR-Employee-Attrition].[PerformanceRating].[All]" allUniqueName="[HR-Employee-Attrition].[PerformanceRating].[All]" dimensionUniqueName="[HR-Employee-Attrition]" displayFolder="" count="0" memberValueDatatype="20" unbalanced="0"/>
    <cacheHierarchy uniqueName="[HR-Employee-Attrition].[RelationshipSatisfaction]" caption="RelationshipSatisfaction" attribute="1" defaultMemberUniqueName="[HR-Employee-Attrition].[RelationshipSatisfaction].[All]" allUniqueName="[HR-Employee-Attrition].[RelationshipSatisfaction].[All]" dimensionUniqueName="[HR-Employee-Attrition]" displayFolder="" count="0" memberValueDatatype="20" unbalanced="0"/>
    <cacheHierarchy uniqueName="[HR-Employee-Attrition].[StandardHours]" caption="StandardHours" attribute="1" defaultMemberUniqueName="[HR-Employee-Attrition].[StandardHours].[All]" allUniqueName="[HR-Employee-Attrition].[StandardHours].[All]" dimensionUniqueName="[HR-Employee-Attrition]" displayFolder="" count="0" memberValueDatatype="20" unbalanced="0"/>
    <cacheHierarchy uniqueName="[HR-Employee-Attrition].[StockOptionLevel]" caption="StockOptionLevel" attribute="1" defaultMemberUniqueName="[HR-Employee-Attrition].[StockOptionLevel].[All]" allUniqueName="[HR-Employee-Attrition].[StockOptionLevel].[All]" dimensionUniqueName="[HR-Employee-Attrition]" displayFolder="" count="0" memberValueDatatype="20" unbalanced="0"/>
    <cacheHierarchy uniqueName="[HR-Employee-Attrition].[TotalWorkingYears]" caption="TotalWorkingYears" attribute="1" defaultMemberUniqueName="[HR-Employee-Attrition].[TotalWorkingYears].[All]" allUniqueName="[HR-Employee-Attrition].[TotalWorkingYears].[All]" dimensionUniqueName="[HR-Employee-Attrition]" displayFolder="" count="0" memberValueDatatype="20" unbalanced="0"/>
    <cacheHierarchy uniqueName="[HR-Employee-Attrition].[TrainingTimesLastYear]" caption="TrainingTimesLastYear" attribute="1" defaultMemberUniqueName="[HR-Employee-Attrition].[TrainingTimesLastYear].[All]" allUniqueName="[HR-Employee-Attrition].[TrainingTimesLastYear].[All]" dimensionUniqueName="[HR-Employee-Attrition]" displayFolder="" count="0" memberValueDatatype="20" unbalanced="0"/>
    <cacheHierarchy uniqueName="[HR-Employee-Attrition].[WorkLifeBalance]" caption="WorkLifeBalance" attribute="1" defaultMemberUniqueName="[HR-Employee-Attrition].[WorkLifeBalance].[All]" allUniqueName="[HR-Employee-Attrition].[WorkLifeBalance].[All]" dimensionUniqueName="[HR-Employee-Attrition]" displayFolder="" count="0" memberValueDatatype="20" unbalanced="0"/>
    <cacheHierarchy uniqueName="[HR-Employee-Attrition].[YearsAtCompany]" caption="YearsAtCompany" attribute="1" defaultMemberUniqueName="[HR-Employee-Attrition].[YearsAtCompany].[All]" allUniqueName="[HR-Employee-Attrition].[YearsAtCompany].[All]" dimensionUniqueName="[HR-Employee-Attrition]" displayFolder="" count="0" memberValueDatatype="20" unbalanced="0"/>
    <cacheHierarchy uniqueName="[HR-Employee-Attrition].[YearsInCurrentRole]" caption="YearsInCurrentRole" attribute="1" defaultMemberUniqueName="[HR-Employee-Attrition].[YearsInCurrentRole].[All]" allUniqueName="[HR-Employee-Attrition].[YearsInCurrentRole].[All]" dimensionUniqueName="[HR-Employee-Attrition]" displayFolder="" count="0" memberValueDatatype="20" unbalanced="0"/>
    <cacheHierarchy uniqueName="[HR-Employee-Attrition].[YearsSinceLastPromotion]" caption="YearsSinceLastPromotion" attribute="1" defaultMemberUniqueName="[HR-Employee-Attrition].[YearsSinceLastPromotion].[All]" allUniqueName="[HR-Employee-Attrition].[YearsSinceLastPromotion].[All]" dimensionUniqueName="[HR-Employee-Attrition]" displayFolder="" count="0" memberValueDatatype="20" unbalanced="0"/>
    <cacheHierarchy uniqueName="[HR-Employee-Attrition].[YearsWithCurrManager]" caption="YearsWithCurrManager" attribute="1" defaultMemberUniqueName="[HR-Employee-Attrition].[YearsWithCurrManager].[All]" allUniqueName="[HR-Employee-Attrition].[YearsWithCurrManager].[All]" dimensionUniqueName="[HR-Employee-Attrition]" displayFolder="" count="0" memberValueDatatype="20" unbalanced="0"/>
    <cacheHierarchy uniqueName="[HR-Employee-Attrition].[Age Group]" caption="Age Group" attribute="1" defaultMemberUniqueName="[HR-Employee-Attrition].[Age Group].[All]" allUniqueName="[HR-Employee-Attrition].[Age Group].[All]" dimensionUniqueName="[HR-Employee-Attrition]" displayFolder="" count="0" memberValueDatatype="130" unbalanced="0"/>
    <cacheHierarchy uniqueName="[HR-Employee-Attrition].[Income Bucket]" caption="Income Bucket" attribute="1" defaultMemberUniqueName="[HR-Employee-Attrition].[Income Bucket].[All]" allUniqueName="[HR-Employee-Attrition].[Income Bucket].[All]" dimensionUniqueName="[HR-Employee-Attrition]" displayFolder="" count="0" memberValueDatatype="130" unbalanced="0"/>
    <cacheHierarchy uniqueName="[HR-Employee-Attrition].[WLB Rating]" caption="WLB Rating" attribute="1" defaultMemberUniqueName="[HR-Employee-Attrition].[WLB Rating].[All]" allUniqueName="[HR-Employee-Attrition].[WLB Rating].[All]" dimensionUniqueName="[HR-Employee-Attrition]" displayFolder="" count="0" memberValueDatatype="130" unbalanced="0"/>
    <cacheHierarchy uniqueName="[HR-Employee-Attrition].[JobSatisfaction Rating]" caption="JobSatisfaction Rating" attribute="1" defaultMemberUniqueName="[HR-Employee-Attrition].[JobSatisfaction Rating].[All]" allUniqueName="[HR-Employee-Attrition].[JobSatisfaction Rating].[All]" dimensionUniqueName="[HR-Employee-Attrition]" displayFolder="" count="0" memberValueDatatype="130" unbalanced="0"/>
    <cacheHierarchy uniqueName="[HR-Employee-Attrition].[YearsWithCompanyBucket]" caption="YearsWithCompanyBucket" attribute="1" defaultMemberUniqueName="[HR-Employee-Attrition].[YearsWithCompanyBucket].[All]" allUniqueName="[HR-Employee-Attrition].[YearsWithCompanyBucket].[All]" dimensionUniqueName="[HR-Employee-Attrition]" displayFolder="" count="0" memberValueDatatype="130" unbalanced="0"/>
    <cacheHierarchy uniqueName="[Measures].[Employees Left]" caption="Employees Left" measure="1" displayFolder="" measureGroup="HR-Employee-Attrition" count="0"/>
    <cacheHierarchy uniqueName="[Measures].[total employees]" caption="total employees" measure="1" displayFolder="" measureGroup="HR-Employee-Attrition" count="0"/>
    <cacheHierarchy uniqueName="[Measures].[Attrition Rate]" caption="Attrition Rate" measure="1" displayFolder="" measureGroup="HR-Employee-Attrition" count="0"/>
    <cacheHierarchy uniqueName="[Measures].[Employees Remaining]" caption="Employees Remaining" measure="1" displayFolder="" measureGroup="HR-Employee-Attrition" count="0"/>
    <cacheHierarchy uniqueName="[Measures].[__XL_Count HR-Employee-Attrition]" caption="__XL_Count HR-Employee-Attrition" measure="1" displayFolder="" measureGroup="HR-Employee-Attrition" count="0" hidden="1"/>
    <cacheHierarchy uniqueName="[Measures].[__No measures defined]" caption="__No measures defined" measure="1" displayFolder="" count="0" hidden="1"/>
    <cacheHierarchy uniqueName="[Measures].[Sum of Age]" caption="Sum of Age" measure="1" displayFolder="" measureGroup="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Employee-Attrition" count="0" hidden="1">
      <extLst>
        <ext xmlns:x15="http://schemas.microsoft.com/office/spreadsheetml/2010/11/main" uri="{B97F6D7D-B522-45F9-BDA1-12C45D357490}">
          <x15:cacheHierarchy aggregatedColumn="1"/>
        </ext>
      </extLst>
    </cacheHierarchy>
    <cacheHierarchy uniqueName="[Measures].[Sum of DailyRate]" caption="Sum of DailyRate" measure="1" displayFolder="" measureGroup="HR-Employee-Attrition" count="0" hidden="1">
      <extLst>
        <ext xmlns:x15="http://schemas.microsoft.com/office/spreadsheetml/2010/11/main" uri="{B97F6D7D-B522-45F9-BDA1-12C45D357490}">
          <x15:cacheHierarchy aggregatedColumn="3"/>
        </ext>
      </extLst>
    </cacheHierarchy>
    <cacheHierarchy uniqueName="[Measures].[Sum of DistanceFromHome]" caption="Sum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Distinct Count of DistanceFromHome]" caption="Distinct Count of DistanceFromHome" measure="1" displayFolder="" measureGroup="HR-Employee-Attrition" count="0" hidden="1">
      <extLst>
        <ext xmlns:x15="http://schemas.microsoft.com/office/spreadsheetml/2010/11/main" uri="{B97F6D7D-B522-45F9-BDA1-12C45D357490}">
          <x15:cacheHierarchy aggregatedColumn="5"/>
        </ext>
      </extLst>
    </cacheHierarchy>
    <cacheHierarchy uniqueName="[Measures].[Sum of Education]" caption="Sum of Education" measure="1" displayFolder="" measureGroup="HR-Employee-Attrition" count="0" hidden="1">
      <extLst>
        <ext xmlns:x15="http://schemas.microsoft.com/office/spreadsheetml/2010/11/main" uri="{B97F6D7D-B522-45F9-BDA1-12C45D357490}">
          <x15:cacheHierarchy aggregatedColumn="6"/>
        </ext>
      </extLst>
    </cacheHierarchy>
    <cacheHierarchy uniqueName="[Measures].[Sum of EmployeeCount]" caption="Sum of EmployeeCount" measure="1" displayFolder="" measureGroup="HR-Employee-Attrition" count="0" hidden="1">
      <extLst>
        <ext xmlns:x15="http://schemas.microsoft.com/office/spreadsheetml/2010/11/main" uri="{B97F6D7D-B522-45F9-BDA1-12C45D357490}">
          <x15:cacheHierarchy aggregatedColumn="8"/>
        </ext>
      </extLst>
    </cacheHierarchy>
    <cacheHierarchy uniqueName="[Measures].[Sum of EmployeeNumber]" caption="Sum of EmployeeNumber" measure="1" displayFolder="" measureGroup="HR-Employee-Attrition" count="0" hidden="1">
      <extLst>
        <ext xmlns:x15="http://schemas.microsoft.com/office/spreadsheetml/2010/11/main" uri="{B97F6D7D-B522-45F9-BDA1-12C45D357490}">
          <x15:cacheHierarchy aggregatedColumn="9"/>
        </ext>
      </extLst>
    </cacheHierarchy>
    <cacheHierarchy uniqueName="[Measures].[Sum of EnvironmentSatisfaction]" caption="Sum of EnvironmentSatisfaction" measure="1" displayFolder="" measureGroup="HR-Employee-Attrition" count="0" hidden="1">
      <extLst>
        <ext xmlns:x15="http://schemas.microsoft.com/office/spreadsheetml/2010/11/main" uri="{B97F6D7D-B522-45F9-BDA1-12C45D357490}">
          <x15:cacheHierarchy aggregatedColumn="10"/>
        </ext>
      </extLst>
    </cacheHierarchy>
    <cacheHierarchy uniqueName="[Measures].[Sum of JobInvolvement]" caption="Sum of JobInvolvement" measure="1" displayFolder="" measureGroup="HR-Employee-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Employee-Attrition"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HR-Employee-Attrition" count="0" hidden="1">
      <extLst>
        <ext xmlns:x15="http://schemas.microsoft.com/office/spreadsheetml/2010/11/main" uri="{B97F6D7D-B522-45F9-BDA1-12C45D357490}">
          <x15:cacheHierarchy aggregatedColumn="30"/>
        </ext>
      </extLst>
    </cacheHierarchy>
    <cacheHierarchy uniqueName="[Measures].[Sum of HourlyRate]" caption="Sum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Distinct Count of HourlyRate]" caption="Distinct Count of HourlyRate" measure="1" displayFolder="" measureGroup="HR-Employee-Attrition"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Distinct Count of MonthlyIncome]" caption="Distinct 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Count of MonthlyIncome]" caption="Count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HR-Employee-Attrition"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HR-Employee-Attrition" count="0" hidden="1">
      <extLst>
        <ext xmlns:x15="http://schemas.microsoft.com/office/spreadsheetml/2010/11/main" uri="{B97F6D7D-B522-45F9-BDA1-12C45D357490}">
          <x15:cacheHierarchy aggregatedColumn="18"/>
        </ext>
      </extLst>
    </cacheHierarchy>
    <cacheHierarchy uniqueName="[Measures].[Average of Age]" caption="Average of Age" measure="1" displayFolder="" measureGroup="HR-Employee-Attrition"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612621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4D630A-06F3-4085-9EC7-49E07BEDBA3D}" name="Attrition by Gender_x0009_" cacheId="1227" applyNumberFormats="0" applyBorderFormats="0" applyFontFormats="0" applyPatternFormats="0" applyAlignmentFormats="0" applyWidthHeightFormats="1" dataCaption="Values" tag="85a589c8-386e-46aa-b189-54dbe56ddeb3" updatedVersion="8" minRefreshableVersion="3" useAutoFormatting="1" rowGrandTotals="0" colGrandTotals="0" itemPrintTitles="1" createdVersion="8" indent="0" outline="1" outlineData="1" multipleFieldFilters="0" chartFormat="10">
  <location ref="D3:E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1">
    <chartFormat chart="9" format="5"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DistanceFromH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A72152-2F32-4884-ADEB-18DCADAF559F}" name="Income vs Attrition_x0009_" cacheId="1254" applyNumberFormats="0" applyBorderFormats="0" applyFontFormats="0" applyPatternFormats="0" applyAlignmentFormats="0" applyWidthHeightFormats="1" dataCaption="Values" tag="d58c831e-6925-4e5a-997a-0c3cbfbfa973" updatedVersion="8" minRefreshableVersion="3" useAutoFormatting="1" subtotalHiddenItems="1" rowGrandTotals="0" colGrandTotals="0" itemPrintTitles="1" createdVersion="8" indent="0" outline="1" outlineData="1" multipleFieldFilters="0" chartFormat="26">
  <location ref="G14:H20"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5"/>
    </i>
    <i>
      <x v="3"/>
    </i>
    <i>
      <x v="4"/>
    </i>
    <i>
      <x v="1"/>
    </i>
    <i>
      <x v="2"/>
    </i>
  </rowItems>
  <colItems count="1">
    <i/>
  </colItems>
  <dataFields count="1">
    <dataField fld="0" subtotal="count" baseField="0" baseItem="0"/>
  </dataFields>
  <chartFormats count="2">
    <chartFormat chart="11"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pivotHierarchy dragToData="1"/>
  </pivotHierarchies>
  <pivotTableStyleInfo name="PivotStyleDark3"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F6B199-54B8-4E70-9999-4BE345C36414}" name="Employees Left" cacheId="1251" applyNumberFormats="0" applyBorderFormats="0" applyFontFormats="0" applyPatternFormats="0" applyAlignmentFormats="0" applyWidthHeightFormats="1" dataCaption="Values" tag="cf1896f4-6546-4f77-b687-d27277a8dfbe" updatedVersion="8" minRefreshableVersion="3" useAutoFormatting="1" subtotalHiddenItems="1" rowGrandTotals="0" colGrandTotals="0" itemPrintTitles="1" createdVersion="8" indent="0" outline="1" outlineData="1" multipleFieldFilters="0" chartFormat="33">
  <location ref="J31:J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pivotHierarchy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E92304-48DA-4B33-A5FD-074F03204DD9}" name="Attrition by Job Role_x0009_" cacheId="1230" applyNumberFormats="0" applyBorderFormats="0" applyFontFormats="0" applyPatternFormats="0" applyAlignmentFormats="0" applyWidthHeightFormats="1" dataCaption="Values" tag="d86df3d1-09de-43af-bc79-ed2671332178" updatedVersion="8" minRefreshableVersion="3" useAutoFormatting="1" subtotalHiddenItems="1" rowGrandTotals="0" colGrandTotals="0" itemPrintTitles="1" createdVersion="8" indent="0" outline="1" outlineData="1" multipleFieldFilters="0" chartFormat="17">
  <location ref="D14:E23"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8"/>
    </i>
    <i>
      <x v="2"/>
    </i>
    <i>
      <x v="1"/>
    </i>
    <i>
      <x v="7"/>
    </i>
    <i>
      <x v="6"/>
    </i>
    <i>
      <x v="4"/>
    </i>
    <i>
      <x/>
    </i>
    <i>
      <x v="3"/>
    </i>
    <i>
      <x v="5"/>
    </i>
  </rowItems>
  <colItems count="1">
    <i/>
  </colItems>
  <dataFields count="1">
    <dataField fld="1" subtotal="count" baseField="0" baseItem="0"/>
  </dataField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E55A4E-1D45-4424-8A1B-C8B80FB39515}" name="Attrition Rate by Age_x0009_" cacheId="1239" applyNumberFormats="0" applyBorderFormats="0" applyFontFormats="0" applyPatternFormats="0" applyAlignmentFormats="0" applyWidthHeightFormats="1" dataCaption="Values" tag="46f230f2-fc57-488b-8225-71d1525b35c5" updatedVersion="8" minRefreshableVersion="3" useAutoFormatting="1" subtotalHiddenItems="1" rowGrandTotals="0" colGrandTotals="0" itemPrintTitles="1" createdVersion="8" indent="0" outline="1" outlineData="1" multipleFieldFilters="0" chartFormat="41">
  <location ref="A3: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chartFormats count="3">
    <chartFormat chart="28"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D05761-5B16-47FB-81E8-F6A3E83D5305}" name="Total Employees" cacheId="1263" applyNumberFormats="0" applyBorderFormats="0" applyFontFormats="0" applyPatternFormats="0" applyAlignmentFormats="0" applyWidthHeightFormats="1" dataCaption="Values" tag="bad268c2-427f-435a-a2eb-7758b1b0ef7e" updatedVersion="8" minRefreshableVersion="3" useAutoFormatting="1" subtotalHiddenItems="1" rowGrandTotals="0" colGrandTotals="0" itemPrintTitles="1" createdVersion="8" indent="0" outline="1" outlineData="1" multipleFieldFilters="0" chartFormat="33">
  <location ref="G31:G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pivotHierarchy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372788-2B86-4D05-ACCB-2FD34C73646C}" name="Overtime Analysis" cacheId="1260" applyNumberFormats="0" applyBorderFormats="0" applyFontFormats="0" applyPatternFormats="0" applyAlignmentFormats="0" applyWidthHeightFormats="1" dataCaption="Values" tag="a66b3cad-506c-43b3-973c-db9e77f858b4" updatedVersion="8" minRefreshableVersion="3" useAutoFormatting="1" subtotalHiddenItems="1" rowGrandTotals="0" colGrandTotals="0" itemPrintTitles="1" createdVersion="8" indent="0" outline="1" outlineData="1" multipleFieldFilters="0" chartFormat="11">
  <location ref="A14:B1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FCAA0D-90E2-477B-9487-501A29BB461D}" name="Attrition by Years at Company" cacheId="1236" applyNumberFormats="0" applyBorderFormats="0" applyFontFormats="0" applyPatternFormats="0" applyAlignmentFormats="0" applyWidthHeightFormats="1" dataCaption="Values" tag="57619b1c-ccf5-4bd5-a063-b48207f4f41e" updatedVersion="8" minRefreshableVersion="3" useAutoFormatting="1" subtotalHiddenItems="1" rowGrandTotals="0" colGrandTotals="0" itemPrintTitles="1" createdVersion="8" indent="0" outline="1" outlineData="1" multipleFieldFilters="0" chartFormat="38">
  <location ref="D31:E37"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dataFields>
  <chartFormats count="2">
    <chartFormat chart="37" format="8" series="1">
      <pivotArea type="data" outline="0" fieldPosition="0">
        <references count="1">
          <reference field="4294967294" count="1" selected="0">
            <x v="0"/>
          </reference>
        </references>
      </pivotArea>
    </chartFormat>
    <chartFormat chart="37" format="9">
      <pivotArea type="data" outline="0" fieldPosition="0">
        <references count="2">
          <reference field="4294967294" count="1" selected="0">
            <x v="0"/>
          </reference>
          <reference field="0" count="1" selected="0">
            <x v="1"/>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pivotHierarchy dragToData="1"/>
  </pivotHierarchies>
  <pivotTableStyleInfo name="PivotStyleDark3"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E5D020-29A4-4A18-AC7A-057EEDCD910B}" name="Average Age_x0009_" cacheId="1245" applyNumberFormats="0" applyBorderFormats="0" applyFontFormats="0" applyPatternFormats="0" applyAlignmentFormats="0" applyWidthHeightFormats="1" dataCaption="Values" tag="80e98d20-8d8f-4b78-bf7f-d24822da16c5" updatedVersion="8" minRefreshableVersion="3" useAutoFormatting="1" subtotalHiddenItems="1" rowGrandTotals="0" colGrandTotals="0" itemPrintTitles="1" createdVersion="8" indent="0" outline="1" outlineData="1" multipleFieldFilters="0" chartFormat="33">
  <location ref="G42:G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dataFields>
  <formats count="1">
    <format dxfId="10">
      <pivotArea outline="0" collapsedLevelsAreSubtotals="1" fieldPosition="0"/>
    </format>
  </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caption="Average of MonthlyIncome"/>
    <pivotHierarchy dragToData="1" caption="Average of Age"/>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503ED2-A95B-421F-B4E3-20EB8A564D09}" name="Average Salary_x0009_" cacheId="1248" applyNumberFormats="0" applyBorderFormats="0" applyFontFormats="0" applyPatternFormats="0" applyAlignmentFormats="0" applyWidthHeightFormats="1" dataCaption="Values" tag="d9051598-1579-4387-a733-da870ae379fb" updatedVersion="8" minRefreshableVersion="3" useAutoFormatting="1" subtotalHiddenItems="1" rowGrandTotals="0" colGrandTotals="0" itemPrintTitles="1" createdVersion="8" indent="0" outline="1" outlineData="1" multipleFieldFilters="0" chartFormat="33">
  <location ref="D42:D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Income" fld="0" subtotal="average" baseField="0" baseItem="0" numFmtId="1"/>
  </dataFields>
  <formats count="1">
    <format dxfId="11">
      <pivotArea outline="0" collapsedLevelsAreSubtotals="1" fieldPosition="0"/>
    </format>
  </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caption="Average of MonthlyIncome"/>
    <pivotHierarchy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645D4B-7B85-4017-A538-722104D5BF50}" name="Attrition by Marital Status_x0009_" cacheId="1233" applyNumberFormats="0" applyBorderFormats="0" applyFontFormats="0" applyPatternFormats="0" applyAlignmentFormats="0" applyWidthHeightFormats="1" dataCaption="Values" tag="ab84afb9-2d89-4454-a00b-6ab1696adcf9" updatedVersion="8" minRefreshableVersion="3" useAutoFormatting="1" rowGrandTotals="0" colGrandTotals="0" itemPrintTitles="1" createdVersion="8" indent="0" outline="1" outlineData="1" multipleFieldFilters="0" chartFormat="14">
  <location ref="J3:K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1">
    <chartFormat chart="13" format="5"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DB3B89-663D-4645-8DA1-F0063F19344F}" name="Job Satisfaction vs Attrition_x0009_" cacheId="1257" applyNumberFormats="0" applyBorderFormats="0" applyFontFormats="0" applyPatternFormats="0" applyAlignmentFormats="0" applyWidthHeightFormats="1" dataCaption="Values" tag="c3aa8ca2-a573-4ca9-929c-dfdc974806aa" updatedVersion="8" minRefreshableVersion="3" useAutoFormatting="1" subtotalHiddenItems="1" rowGrandTotals="0" colGrandTotals="0" itemPrintTitles="1" createdVersion="8" indent="0" outline="1" outlineData="1" multipleFieldFilters="0" chartFormat="30">
  <location ref="A31:B35" firstHeaderRow="1" firstDataRow="1" firstDataCol="1"/>
  <pivotFields count="4">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Items count="1">
    <i/>
  </colItems>
  <dataFields count="1">
    <dataField fld="0" subtotal="count" baseField="0" baseItem="0"/>
  </dataFields>
  <chartFormats count="4">
    <chartFormat chart="11"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pivotHierarchy dragToData="1"/>
  </pivotHierarchies>
  <pivotTableStyleInfo name="PivotStyleDark3"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1E93F5-5B0B-4643-ACD0-A51492FCD154}" name="Attrition Rate_x0009_" cacheId="1242" applyNumberFormats="0" applyBorderFormats="0" applyFontFormats="0" applyPatternFormats="0" applyAlignmentFormats="0" applyWidthHeightFormats="1" dataCaption="Values" tag="9c4d9107-7049-451a-bb43-c2def46185cd" updatedVersion="8" minRefreshableVersion="3" useAutoFormatting="1" subtotalHiddenItems="1" rowGrandTotals="0" colGrandTotals="0" itemPrintTitles="1" createdVersion="8" indent="0" outline="1" outlineData="1" multipleFieldFilters="0" chartFormat="33">
  <location ref="A42:A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pivotHierarchy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E047D6-543A-4606-9FE2-59409EC5856D}" name="Attrition by Department_x0009_" cacheId="1224" applyNumberFormats="0" applyBorderFormats="0" applyFontFormats="0" applyPatternFormats="0" applyAlignmentFormats="0" applyWidthHeightFormats="1" dataCaption="Values" tag="acaec31d-39a8-4346-afdd-a6d0783bb5f1" updatedVersion="8" minRefreshableVersion="3" useAutoFormatting="1" rowGrandTotals="0" colGrandTotals="0" itemPrintTitles="1" createdVersion="8" indent="0" outline="1" outlineData="1" multipleFieldFilters="0" chartFormat="24">
  <location ref="G3:H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3">
    <chartFormat chart="15"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434C84-4DEE-445E-8320-534A4AF444BB}" name="WorkLifeBalance vs Attrition_x0009_" cacheId="1266" applyNumberFormats="0" applyBorderFormats="0" applyFontFormats="0" applyPatternFormats="0" applyAlignmentFormats="0" applyWidthHeightFormats="1" dataCaption="Values" tag="73bc33f7-f6f8-4db6-9f36-862625eff5cb" updatedVersion="8" minRefreshableVersion="3" useAutoFormatting="1" subtotalHiddenItems="1" rowGrandTotals="0" colGrandTotals="0" itemPrintTitles="1" createdVersion="8" indent="0" outline="1" outlineData="1" multipleFieldFilters="0" chartFormat="32">
  <location ref="J14:K18" firstHeaderRow="1" firstDataRow="1" firstDataCol="1"/>
  <pivotFields count="4">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Items count="1">
    <i/>
  </colItems>
  <dataFields count="1">
    <dataField fld="0" subtotal="count" baseField="0" baseItem="0"/>
  </dataFields>
  <chartFormats count="6">
    <chartFormat chart="11"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lyRate"/>
    <pivotHierarchy dragToData="1"/>
    <pivotHierarchy dragToData="1" caption="Distinct Count of MonthlyIncome"/>
    <pivotHierarchy dragToData="1" caption="Count of MonthlyIncome"/>
    <pivotHierarchy dragToData="1"/>
    <pivotHierarchy dragToData="1"/>
    <pivotHierarchy dragToData="1"/>
  </pivotHierarchies>
  <pivotTableStyleInfo name="PivotStyleDark3"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2FAF38E-B94A-4DA3-9E21-0553FE10F61D}" sourceName="[HR-Employee-Attrition].[Department]">
  <pivotTables>
    <pivotTable tabId="2" name="Attrition by Department_x0009_"/>
    <pivotTable tabId="2" name="Attrition by Gender_x0009_"/>
    <pivotTable tabId="2" name="Attrition by Job Role_x0009_"/>
    <pivotTable tabId="2" name="Attrition by Marital Status_x0009_"/>
    <pivotTable tabId="2" name="Attrition by Years at Company"/>
    <pivotTable tabId="2" name="Attrition Rate by Age_x0009_"/>
    <pivotTable tabId="2" name="Attrition Rate_x0009_"/>
    <pivotTable tabId="2" name="Average Age_x0009_"/>
    <pivotTable tabId="2" name="Average Salary_x0009_"/>
    <pivotTable tabId="2" name="Employees Left"/>
    <pivotTable tabId="2" name="Income vs Attrition_x0009_"/>
    <pivotTable tabId="2" name="Job Satisfaction vs Attrition_x0009_"/>
    <pivotTable tabId="2" name="Overtime Analysis"/>
    <pivotTable tabId="2" name="Total Employees"/>
    <pivotTable tabId="2" name="WorkLifeBalance vs Attrition_x0009_"/>
  </pivotTables>
  <data>
    <olap pivotCacheId="361262135">
      <levels count="2">
        <level uniqueName="[HR-Employee-Attrition].[Department].[(All)]" sourceCaption="(All)" count="0"/>
        <level uniqueName="[HR-Employee-Attrition].[Department].[Department]" sourceCaption="Department" count="3">
          <ranges>
            <range startItem="0">
              <i n="[HR-Employee-Attrition].[Department].&amp;[Human Resources]" c="Human Resources"/>
              <i n="[HR-Employee-Attrition].[Department].&amp;[Research &amp; Development]" c="Research &amp; Development"/>
              <i n="[HR-Employee-Attrition].[Department].&amp;[Sales]" c="Sales"/>
            </range>
          </ranges>
        </level>
      </levels>
      <selections count="1">
        <selection n="[HR-Employee-Attrition].[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847829-10E1-4139-9F5F-797A02027FAC}" sourceName="[HR-Employee-Attrition].[Gender]">
  <pivotTables>
    <pivotTable tabId="2" name="Attrition by Department_x0009_"/>
    <pivotTable tabId="2" name="Attrition by Gender_x0009_"/>
    <pivotTable tabId="2" name="Attrition by Job Role_x0009_"/>
    <pivotTable tabId="2" name="Attrition by Marital Status_x0009_"/>
    <pivotTable tabId="2" name="Attrition by Years at Company"/>
    <pivotTable tabId="2" name="Attrition Rate by Age_x0009_"/>
    <pivotTable tabId="2" name="Attrition Rate_x0009_"/>
    <pivotTable tabId="2" name="Average Age_x0009_"/>
    <pivotTable tabId="2" name="Average Salary_x0009_"/>
    <pivotTable tabId="2" name="Employees Left"/>
    <pivotTable tabId="2" name="Income vs Attrition_x0009_"/>
    <pivotTable tabId="2" name="Job Satisfaction vs Attrition_x0009_"/>
    <pivotTable tabId="2" name="Overtime Analysis"/>
    <pivotTable tabId="2" name="Total Employees"/>
    <pivotTable tabId="2" name="WorkLifeBalance vs Attrition_x0009_"/>
  </pivotTables>
  <data>
    <olap pivotCacheId="361262135">
      <levels count="2">
        <level uniqueName="[HR-Employee-Attrition].[Gender].[(All)]" sourceCaption="(All)" count="0"/>
        <level uniqueName="[HR-Employee-Attrition].[Gender].[Gender]" sourceCaption="Gender" count="2">
          <ranges>
            <range startItem="0">
              <i n="[HR-Employee-Attrition].[Gender].&amp;[Female]" c="Female"/>
              <i n="[HR-Employee-Attrition].[Gender].&amp;[Male]" c="Male"/>
            </range>
          </ranges>
        </level>
      </levels>
      <selections count="1">
        <selection n="[HR-Employee-Attrition].[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9D08B1B-9838-4F9A-8497-8BEFC3A37512}" sourceName="[HR-Employee-Attrition].[JobRole]">
  <pivotTables>
    <pivotTable tabId="2" name="Attrition by Department_x0009_"/>
    <pivotTable tabId="2" name="Attrition by Gender_x0009_"/>
    <pivotTable tabId="2" name="Attrition by Job Role_x0009_"/>
    <pivotTable tabId="2" name="Attrition by Marital Status_x0009_"/>
    <pivotTable tabId="2" name="Attrition by Years at Company"/>
    <pivotTable tabId="2" name="Attrition Rate by Age_x0009_"/>
    <pivotTable tabId="2" name="Attrition Rate_x0009_"/>
    <pivotTable tabId="2" name="Average Age_x0009_"/>
    <pivotTable tabId="2" name="Average Salary_x0009_"/>
    <pivotTable tabId="2" name="Employees Left"/>
    <pivotTable tabId="2" name="Income vs Attrition_x0009_"/>
    <pivotTable tabId="2" name="Job Satisfaction vs Attrition_x0009_"/>
    <pivotTable tabId="2" name="Overtime Analysis"/>
    <pivotTable tabId="2" name="Total Employees"/>
    <pivotTable tabId="2" name="WorkLifeBalance vs Attrition_x0009_"/>
  </pivotTables>
  <data>
    <olap pivotCacheId="361262135">
      <levels count="2">
        <level uniqueName="[HR-Employee-Attrition].[JobRole].[(All)]" sourceCaption="(All)" count="0"/>
        <level uniqueName="[HR-Employee-Attrition].[JobRole].[JobRole]" sourceCaption="JobRole" count="9">
          <ranges>
            <range startItem="0">
              <i n="[HR-Employee-Attrition].[JobRole].&amp;[Healthcare Representative]" c="Healthcare Representative"/>
              <i n="[HR-Employee-Attrition].[JobRole].&amp;[Human Resources]" c="Human Resources"/>
              <i n="[HR-Employee-Attrition].[JobRole].&amp;[Laboratory Technician]" c="Laboratory Technician"/>
              <i n="[HR-Employee-Attrition].[JobRole].&amp;[Manager]" c="Manager"/>
              <i n="[HR-Employee-Attrition].[JobRole].&amp;[Manufacturing Director]" c="Manufacturing Director"/>
              <i n="[HR-Employee-Attrition].[JobRole].&amp;[Research Director]" c="Research Director"/>
              <i n="[HR-Employee-Attrition].[JobRole].&amp;[Research Scientist]" c="Research Scientist"/>
              <i n="[HR-Employee-Attrition].[JobRole].&amp;[Sales Executive]" c="Sales Executive"/>
              <i n="[HR-Employee-Attrition].[JobRole].&amp;[Sales Representative]" c="Sales Representative"/>
            </range>
          </ranges>
        </level>
      </levels>
      <selections count="1">
        <selection n="[HR-Employee-Attrition].[Job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796AFEBD-11A9-4C9C-81F0-5FD219F6D97A}" sourceName="[HR-Employee-Attrition].[MaritalStatus]">
  <pivotTables>
    <pivotTable tabId="2" name="Attrition by Department_x0009_"/>
    <pivotTable tabId="2" name="Attrition by Gender_x0009_"/>
    <pivotTable tabId="2" name="Attrition by Job Role_x0009_"/>
    <pivotTable tabId="2" name="Attrition by Marital Status_x0009_"/>
    <pivotTable tabId="2" name="Attrition by Years at Company"/>
    <pivotTable tabId="2" name="Attrition Rate by Age_x0009_"/>
    <pivotTable tabId="2" name="Attrition Rate_x0009_"/>
    <pivotTable tabId="2" name="Average Age_x0009_"/>
    <pivotTable tabId="2" name="Average Salary_x0009_"/>
    <pivotTable tabId="2" name="Employees Left"/>
    <pivotTable tabId="2" name="Income vs Attrition_x0009_"/>
    <pivotTable tabId="2" name="Job Satisfaction vs Attrition_x0009_"/>
    <pivotTable tabId="2" name="Overtime Analysis"/>
    <pivotTable tabId="2" name="Total Employees"/>
    <pivotTable tabId="2" name="WorkLifeBalance vs Attrition_x0009_"/>
  </pivotTables>
  <data>
    <olap pivotCacheId="361262135">
      <levels count="2">
        <level uniqueName="[HR-Employee-Attrition].[MaritalStatus].[(All)]" sourceCaption="(All)" count="0"/>
        <level uniqueName="[HR-Employee-Attrition].[MaritalStatus].[MaritalStatus]" sourceCaption="MaritalStatus" count="3">
          <ranges>
            <range startItem="0">
              <i n="[HR-Employee-Attrition].[MaritalStatus].&amp;[Divorced]" c="Divorced"/>
              <i n="[HR-Employee-Attrition].[MaritalStatus].&amp;[Married]" c="Married"/>
              <i n="[HR-Employee-Attrition].[MaritalStatus].&amp;[Single]" c="Single"/>
            </range>
          </ranges>
        </level>
      </levels>
      <selections count="1">
        <selection n="[HR-Employee-Attrition].[Marital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0DC620C-0E6E-4F20-988D-EDC737253284}" sourceName="[HR-Employee-Attrition].[OverTime]">
  <pivotTables>
    <pivotTable tabId="2" name="Attrition by Department_x0009_"/>
    <pivotTable tabId="2" name="Attrition by Gender_x0009_"/>
    <pivotTable tabId="2" name="Attrition by Job Role_x0009_"/>
    <pivotTable tabId="2" name="Attrition by Marital Status_x0009_"/>
    <pivotTable tabId="2" name="Attrition by Years at Company"/>
    <pivotTable tabId="2" name="Attrition Rate by Age_x0009_"/>
    <pivotTable tabId="2" name="Attrition Rate_x0009_"/>
    <pivotTable tabId="2" name="Average Age_x0009_"/>
    <pivotTable tabId="2" name="Average Salary_x0009_"/>
    <pivotTable tabId="2" name="Employees Left"/>
    <pivotTable tabId="2" name="Income vs Attrition_x0009_"/>
    <pivotTable tabId="2" name="Job Satisfaction vs Attrition_x0009_"/>
    <pivotTable tabId="2" name="Overtime Analysis"/>
    <pivotTable tabId="2" name="Total Employees"/>
    <pivotTable tabId="2" name="WorkLifeBalance vs Attrition_x0009_"/>
  </pivotTables>
  <data>
    <olap pivotCacheId="361262135">
      <levels count="2">
        <level uniqueName="[HR-Employee-Attrition].[OverTime].[(All)]" sourceCaption="(All)" count="0"/>
        <level uniqueName="[HR-Employee-Attrition].[OverTime].[OverTime]" sourceCaption="OverTime" count="2">
          <ranges>
            <range startItem="0">
              <i n="[HR-Employee-Attrition].[OverTime].&amp;[No]" c="No"/>
              <i n="[HR-Employee-Attrition].[OverTime].&amp;[Yes]" c="Yes"/>
            </range>
          </ranges>
        </level>
      </levels>
      <selections count="1">
        <selection n="[HR-Employee-Attrition].[OverTi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B07AE4ED-BA11-4CAD-BCF7-D78D1EDBC2A2}" sourceName="[HR-Employee-Attrition].[EducationField]">
  <pivotTables>
    <pivotTable tabId="2" name="Attrition by Department_x0009_"/>
    <pivotTable tabId="2" name="Attrition by Gender_x0009_"/>
    <pivotTable tabId="2" name="Attrition by Job Role_x0009_"/>
    <pivotTable tabId="2" name="Attrition by Marital Status_x0009_"/>
    <pivotTable tabId="2" name="Attrition by Years at Company"/>
    <pivotTable tabId="2" name="Attrition Rate by Age_x0009_"/>
    <pivotTable tabId="2" name="Attrition Rate_x0009_"/>
    <pivotTable tabId="2" name="Average Age_x0009_"/>
    <pivotTable tabId="2" name="Average Salary_x0009_"/>
    <pivotTable tabId="2" name="Employees Left"/>
    <pivotTable tabId="2" name="Income vs Attrition_x0009_"/>
    <pivotTable tabId="2" name="Job Satisfaction vs Attrition_x0009_"/>
    <pivotTable tabId="2" name="Overtime Analysis"/>
    <pivotTable tabId="2" name="Total Employees"/>
    <pivotTable tabId="2" name="WorkLifeBalance vs Attrition_x0009_"/>
  </pivotTables>
  <data>
    <olap pivotCacheId="361262135">
      <levels count="2">
        <level uniqueName="[HR-Employee-Attrition].[EducationField].[(All)]" sourceCaption="(All)" count="0"/>
        <level uniqueName="[HR-Employee-Attrition].[EducationField].[EducationField]" sourceCaption="EducationField" count="6">
          <ranges>
            <range startItem="0">
              <i n="[HR-Employee-Attrition].[EducationField].&amp;[Human Resources]" c="Human Resources"/>
              <i n="[HR-Employee-Attrition].[EducationField].&amp;[Life Sciences]" c="Life Sciences"/>
              <i n="[HR-Employee-Attrition].[EducationField].&amp;[Marketing]" c="Marketing"/>
              <i n="[HR-Employee-Attrition].[EducationField].&amp;[Medical]" c="Medical"/>
              <i n="[HR-Employee-Attrition].[EducationField].&amp;[Other]" c="Other"/>
              <i n="[HR-Employee-Attrition].[EducationField].&amp;[Technical Degree]" c="Technical Degree"/>
            </range>
          </ranges>
        </level>
      </levels>
      <selections count="1">
        <selection n="[HR-Employee-Attrition].[EducationFiel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C19D5EA-D066-4D6C-A270-311B843150BD}" cache="Slicer_Department" caption="Department" level="1" style="SlicerStyleLight1 2" rowHeight="251883"/>
  <slicer name="Gender" xr10:uid="{3531373A-316D-4D2A-A387-ADA5B09125DD}" cache="Slicer_Gender" caption="Gender" columnCount="2" level="1" style="SlicerStyleLight1 2" rowHeight="251883"/>
  <slicer name="JobRole" xr10:uid="{9F66C100-97DC-4982-ADE8-702EB00E3F6C}" cache="Slicer_JobRole" caption="JobRole" level="1" style="SlicerStyleLight1 2" rowHeight="251883"/>
  <slicer name="MaritalStatus" xr10:uid="{73764788-97B0-4C51-A81B-7D603ED70FE5}" cache="Slicer_MaritalStatus" caption="MaritalStatus" level="1" style="SlicerStyleLight1 2" rowHeight="251883"/>
  <slicer name="OverTime" xr10:uid="{B4A1E979-9361-4C60-893B-FDD7B7723CC5}" cache="Slicer_OverTime" caption="OverTime" columnCount="2" level="1" style="SlicerStyleLight1 2" rowHeight="251883"/>
  <slicer name="EducationField" xr10:uid="{041EA8CD-EEB9-468A-B87F-1B5CAC05E1E5}" cache="Slicer_EducationField" caption="EducationField" level="1" style="SlicerStyleLight1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C88D0-D6B2-464C-9350-0A938FAD37B4}">
  <dimension ref="A1"/>
  <sheetViews>
    <sheetView tabSelected="1" topLeftCell="A43" zoomScaleNormal="100" workbookViewId="0">
      <selection activeCell="S13" sqref="S13"/>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A573-83BE-47B8-A909-EAE16926C4E4}">
  <dimension ref="A1"/>
  <sheetViews>
    <sheetView workbookViewId="0">
      <selection activeCell="D13" sqref="D13"/>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6E063-D651-4BC7-9AA6-175B11FF6B2A}">
  <dimension ref="A2:K47"/>
  <sheetViews>
    <sheetView zoomScaleNormal="100" workbookViewId="0">
      <selection activeCell="J14" sqref="J14"/>
    </sheetView>
  </sheetViews>
  <sheetFormatPr defaultRowHeight="14.5" x14ac:dyDescent="0.35"/>
  <cols>
    <col min="1" max="1" width="12.453125" bestFit="1" customWidth="1"/>
    <col min="2" max="2" width="11.81640625" bestFit="1" customWidth="1"/>
    <col min="3" max="3" width="14.1796875" bestFit="1" customWidth="1"/>
    <col min="4" max="4" width="23" bestFit="1" customWidth="1"/>
    <col min="5" max="5" width="11.81640625" bestFit="1" customWidth="1"/>
    <col min="6" max="6" width="21.6328125" bestFit="1" customWidth="1"/>
    <col min="7" max="7" width="14.1796875" bestFit="1" customWidth="1"/>
    <col min="8" max="9" width="11.81640625" bestFit="1" customWidth="1"/>
    <col min="10" max="10" width="12.453125" bestFit="1" customWidth="1"/>
    <col min="11" max="11" width="11.81640625" bestFit="1" customWidth="1"/>
    <col min="12" max="44" width="2.81640625" bestFit="1" customWidth="1"/>
    <col min="45" max="45" width="10.36328125" bestFit="1" customWidth="1"/>
  </cols>
  <sheetData>
    <row r="2" spans="1:11" x14ac:dyDescent="0.35">
      <c r="A2" s="8" t="s">
        <v>13</v>
      </c>
      <c r="B2" s="8"/>
      <c r="D2" s="8" t="s">
        <v>19</v>
      </c>
      <c r="E2" s="9"/>
      <c r="G2" s="8" t="s">
        <v>57</v>
      </c>
      <c r="H2" s="8"/>
      <c r="J2" s="8" t="s">
        <v>23</v>
      </c>
      <c r="K2" s="9"/>
    </row>
    <row r="3" spans="1:11" x14ac:dyDescent="0.35">
      <c r="A3" s="1" t="s">
        <v>0</v>
      </c>
      <c r="B3" t="s">
        <v>12</v>
      </c>
      <c r="D3" s="1" t="s">
        <v>0</v>
      </c>
      <c r="E3" t="s">
        <v>12</v>
      </c>
      <c r="G3" s="1" t="s">
        <v>0</v>
      </c>
      <c r="H3" t="s">
        <v>12</v>
      </c>
      <c r="J3" s="1" t="s">
        <v>0</v>
      </c>
      <c r="K3" t="s">
        <v>12</v>
      </c>
    </row>
    <row r="4" spans="1:11" x14ac:dyDescent="0.35">
      <c r="A4" s="2" t="s">
        <v>3</v>
      </c>
      <c r="B4" s="4">
        <v>0.39175257731958762</v>
      </c>
      <c r="D4" s="2" t="s">
        <v>17</v>
      </c>
      <c r="E4" s="4">
        <v>0.14795918367346939</v>
      </c>
      <c r="G4" s="2" t="s">
        <v>14</v>
      </c>
      <c r="H4" s="4">
        <v>0.19047619047619047</v>
      </c>
      <c r="J4" s="2" t="s">
        <v>20</v>
      </c>
      <c r="K4" s="4">
        <v>0.10091743119266056</v>
      </c>
    </row>
    <row r="5" spans="1:11" x14ac:dyDescent="0.35">
      <c r="A5" s="2" t="s">
        <v>4</v>
      </c>
      <c r="B5" s="4">
        <v>0.21718377088305491</v>
      </c>
      <c r="D5" s="2" t="s">
        <v>18</v>
      </c>
      <c r="E5" s="4">
        <v>0.17006802721088435</v>
      </c>
      <c r="G5" s="2" t="s">
        <v>15</v>
      </c>
      <c r="H5" s="4">
        <v>0.13839750260145681</v>
      </c>
      <c r="J5" s="2" t="s">
        <v>21</v>
      </c>
      <c r="K5" s="4">
        <v>0.12481426448736999</v>
      </c>
    </row>
    <row r="6" spans="1:11" x14ac:dyDescent="0.35">
      <c r="A6" s="2" t="s">
        <v>5</v>
      </c>
      <c r="B6" s="4">
        <v>0.11538461538461539</v>
      </c>
      <c r="G6" s="2" t="s">
        <v>16</v>
      </c>
      <c r="H6" s="4">
        <v>0.20627802690582961</v>
      </c>
      <c r="J6" s="2" t="s">
        <v>22</v>
      </c>
      <c r="K6" s="4">
        <v>0.25531914893617019</v>
      </c>
    </row>
    <row r="7" spans="1:11" x14ac:dyDescent="0.35">
      <c r="A7" s="2" t="s">
        <v>6</v>
      </c>
      <c r="B7" s="4">
        <v>0.108</v>
      </c>
    </row>
    <row r="8" spans="1:11" x14ac:dyDescent="0.35">
      <c r="A8" s="2" t="s">
        <v>7</v>
      </c>
      <c r="B8" s="4">
        <v>0.10526315789473684</v>
      </c>
    </row>
    <row r="9" spans="1:11" x14ac:dyDescent="0.35">
      <c r="A9" s="2" t="s">
        <v>8</v>
      </c>
      <c r="B9" s="4">
        <v>9.45945945945946E-2</v>
      </c>
    </row>
    <row r="10" spans="1:11" x14ac:dyDescent="0.35">
      <c r="A10" s="2" t="s">
        <v>9</v>
      </c>
      <c r="B10" s="4">
        <v>0.15942028985507245</v>
      </c>
    </row>
    <row r="13" spans="1:11" x14ac:dyDescent="0.35">
      <c r="A13" s="8" t="s">
        <v>24</v>
      </c>
      <c r="B13" s="9"/>
      <c r="D13" s="8" t="s">
        <v>25</v>
      </c>
      <c r="E13" s="9"/>
      <c r="G13" s="8" t="s">
        <v>58</v>
      </c>
      <c r="H13" s="8"/>
      <c r="J13" s="8" t="s">
        <v>59</v>
      </c>
      <c r="K13" s="8"/>
    </row>
    <row r="14" spans="1:11" x14ac:dyDescent="0.35">
      <c r="A14" s="1" t="s">
        <v>0</v>
      </c>
      <c r="B14" t="s">
        <v>12</v>
      </c>
      <c r="D14" s="1" t="s">
        <v>0</v>
      </c>
      <c r="E14" t="s">
        <v>12</v>
      </c>
      <c r="G14" s="1" t="s">
        <v>0</v>
      </c>
      <c r="H14" t="s">
        <v>12</v>
      </c>
      <c r="J14" s="1" t="s">
        <v>0</v>
      </c>
      <c r="K14" t="s">
        <v>12</v>
      </c>
    </row>
    <row r="15" spans="1:11" x14ac:dyDescent="0.35">
      <c r="A15" s="2" t="s">
        <v>1</v>
      </c>
      <c r="B15" s="4">
        <v>0.10436432637571158</v>
      </c>
      <c r="D15" s="2" t="s">
        <v>33</v>
      </c>
      <c r="E15" s="4">
        <v>0.39759036144578314</v>
      </c>
      <c r="G15" s="2" t="s">
        <v>34</v>
      </c>
      <c r="H15" s="4">
        <v>0.28607594936708863</v>
      </c>
      <c r="J15" s="2" t="s">
        <v>40</v>
      </c>
      <c r="K15" s="4">
        <v>0.3125</v>
      </c>
    </row>
    <row r="16" spans="1:11" x14ac:dyDescent="0.35">
      <c r="A16" s="2" t="s">
        <v>2</v>
      </c>
      <c r="B16" s="4">
        <v>0.30528846153846156</v>
      </c>
      <c r="D16" s="2" t="s">
        <v>27</v>
      </c>
      <c r="E16" s="4">
        <v>0.23938223938223938</v>
      </c>
      <c r="G16" s="2" t="s">
        <v>39</v>
      </c>
      <c r="H16" s="4">
        <v>0.16666666666666666</v>
      </c>
      <c r="J16" s="2" t="s">
        <v>41</v>
      </c>
      <c r="K16" s="4">
        <v>0.17647058823529413</v>
      </c>
    </row>
    <row r="17" spans="1:11" x14ac:dyDescent="0.35">
      <c r="D17" s="2" t="s">
        <v>14</v>
      </c>
      <c r="E17" s="4">
        <v>0.23076923076923078</v>
      </c>
      <c r="G17" s="2" t="s">
        <v>37</v>
      </c>
      <c r="H17" s="4">
        <v>0.12716763005780346</v>
      </c>
      <c r="J17" s="2" t="s">
        <v>42</v>
      </c>
      <c r="K17" s="4">
        <v>0.14221724524076149</v>
      </c>
    </row>
    <row r="18" spans="1:11" x14ac:dyDescent="0.35">
      <c r="D18" s="2" t="s">
        <v>32</v>
      </c>
      <c r="E18" s="4">
        <v>0.17484662576687116</v>
      </c>
      <c r="G18" s="2" t="s">
        <v>38</v>
      </c>
      <c r="H18" s="4">
        <v>0.10762331838565023</v>
      </c>
      <c r="J18" s="2" t="s">
        <v>43</v>
      </c>
      <c r="K18" s="4">
        <v>0.16860465116279069</v>
      </c>
    </row>
    <row r="19" spans="1:11" x14ac:dyDescent="0.35">
      <c r="D19" s="2" t="s">
        <v>31</v>
      </c>
      <c r="E19" s="4">
        <v>0.16095890410958905</v>
      </c>
      <c r="G19" s="2" t="s">
        <v>35</v>
      </c>
      <c r="H19" s="4">
        <v>9.6774193548387094E-2</v>
      </c>
    </row>
    <row r="20" spans="1:11" x14ac:dyDescent="0.35">
      <c r="D20" s="2" t="s">
        <v>29</v>
      </c>
      <c r="E20" s="4">
        <v>6.8965517241379309E-2</v>
      </c>
      <c r="G20" s="2" t="s">
        <v>36</v>
      </c>
      <c r="H20" s="4">
        <v>7.2463768115942032E-2</v>
      </c>
    </row>
    <row r="21" spans="1:11" x14ac:dyDescent="0.35">
      <c r="D21" s="2" t="s">
        <v>26</v>
      </c>
      <c r="E21" s="4">
        <v>6.8702290076335881E-2</v>
      </c>
    </row>
    <row r="22" spans="1:11" x14ac:dyDescent="0.35">
      <c r="D22" s="2" t="s">
        <v>28</v>
      </c>
      <c r="E22" s="4">
        <v>4.9019607843137254E-2</v>
      </c>
    </row>
    <row r="23" spans="1:11" x14ac:dyDescent="0.35">
      <c r="D23" s="2" t="s">
        <v>30</v>
      </c>
      <c r="E23" s="4">
        <v>2.5000000000000001E-2</v>
      </c>
    </row>
    <row r="30" spans="1:11" x14ac:dyDescent="0.35">
      <c r="A30" s="8" t="s">
        <v>44</v>
      </c>
      <c r="B30" s="8"/>
      <c r="D30" s="8" t="s">
        <v>45</v>
      </c>
      <c r="E30" s="8"/>
      <c r="G30" s="8" t="s">
        <v>52</v>
      </c>
      <c r="H30" s="8"/>
      <c r="J30" s="8" t="s">
        <v>10</v>
      </c>
      <c r="K30" s="8"/>
    </row>
    <row r="31" spans="1:11" x14ac:dyDescent="0.35">
      <c r="A31" s="1" t="s">
        <v>0</v>
      </c>
      <c r="B31" t="s">
        <v>12</v>
      </c>
      <c r="D31" s="1" t="s">
        <v>0</v>
      </c>
      <c r="E31" t="s">
        <v>12</v>
      </c>
      <c r="G31" t="s">
        <v>11</v>
      </c>
      <c r="J31" t="s">
        <v>10</v>
      </c>
    </row>
    <row r="32" spans="1:11" x14ac:dyDescent="0.35">
      <c r="A32" s="2" t="s">
        <v>40</v>
      </c>
      <c r="B32" s="4">
        <v>0.22837370242214533</v>
      </c>
      <c r="D32" s="2" t="s">
        <v>46</v>
      </c>
      <c r="E32" s="4">
        <v>0.2982456140350877</v>
      </c>
      <c r="G32" s="10">
        <v>1470</v>
      </c>
      <c r="J32" s="5">
        <v>237</v>
      </c>
    </row>
    <row r="33" spans="1:10" x14ac:dyDescent="0.35">
      <c r="A33" s="2" t="s">
        <v>41</v>
      </c>
      <c r="B33" s="4">
        <v>0.11328976034858387</v>
      </c>
      <c r="D33" s="2" t="s">
        <v>47</v>
      </c>
      <c r="E33" s="4">
        <v>6.4814814814814811E-2</v>
      </c>
    </row>
    <row r="34" spans="1:10" x14ac:dyDescent="0.35">
      <c r="A34" s="2" t="s">
        <v>42</v>
      </c>
      <c r="B34" s="4">
        <v>0.16515837104072398</v>
      </c>
      <c r="D34" s="2" t="s">
        <v>48</v>
      </c>
      <c r="E34" s="4">
        <v>6.9444444444444448E-2</v>
      </c>
    </row>
    <row r="35" spans="1:10" x14ac:dyDescent="0.35">
      <c r="A35" s="2" t="s">
        <v>43</v>
      </c>
      <c r="B35" s="4">
        <v>0.16428571428571428</v>
      </c>
      <c r="D35" s="2" t="s">
        <v>49</v>
      </c>
      <c r="E35" s="4">
        <v>0.12121212121212122</v>
      </c>
      <c r="G35">
        <f>GETPIVOTDATA("[Measures].[total employees]",$G$31)</f>
        <v>1470</v>
      </c>
      <c r="J35">
        <f>GETPIVOTDATA("[Measures].[Employees Left]",$J$31)</f>
        <v>237</v>
      </c>
    </row>
    <row r="36" spans="1:10" x14ac:dyDescent="0.35">
      <c r="D36" s="2" t="s">
        <v>50</v>
      </c>
      <c r="E36" s="4">
        <v>0.13824884792626729</v>
      </c>
    </row>
    <row r="37" spans="1:10" x14ac:dyDescent="0.35">
      <c r="D37" s="2" t="s">
        <v>51</v>
      </c>
      <c r="E37" s="4">
        <v>0.12276785714285714</v>
      </c>
    </row>
    <row r="41" spans="1:10" x14ac:dyDescent="0.35">
      <c r="A41" s="8" t="s">
        <v>12</v>
      </c>
      <c r="B41" s="8"/>
      <c r="D41" s="8" t="s">
        <v>53</v>
      </c>
      <c r="E41" s="8"/>
      <c r="G41" s="8" t="s">
        <v>55</v>
      </c>
      <c r="H41" s="8"/>
    </row>
    <row r="42" spans="1:10" x14ac:dyDescent="0.35">
      <c r="A42" t="s">
        <v>12</v>
      </c>
      <c r="D42" t="s">
        <v>54</v>
      </c>
      <c r="G42" t="s">
        <v>56</v>
      </c>
    </row>
    <row r="43" spans="1:10" x14ac:dyDescent="0.35">
      <c r="A43" s="4">
        <v>0.16122448979591836</v>
      </c>
      <c r="D43" s="7">
        <v>6502.931292517007</v>
      </c>
      <c r="G43" s="7">
        <v>36.923809523809524</v>
      </c>
    </row>
    <row r="46" spans="1:10" x14ac:dyDescent="0.35">
      <c r="A46" s="3">
        <f>GETPIVOTDATA("[Measures].[Attrition Rate]",$A$42)</f>
        <v>0.16122448979591836</v>
      </c>
      <c r="D46" s="7">
        <f>GETPIVOTDATA("[Measures].[Average of MonthlyIncome]",$D$42)</f>
        <v>6502.931292517007</v>
      </c>
    </row>
    <row r="47" spans="1:10" x14ac:dyDescent="0.35">
      <c r="G47" s="7">
        <f>GETPIVOTDATA("[Measures].[Average of Age]",$G$42)</f>
        <v>36.923809523809524</v>
      </c>
    </row>
  </sheetData>
  <mergeCells count="15">
    <mergeCell ref="A2:B2"/>
    <mergeCell ref="D2:E2"/>
    <mergeCell ref="G2:H2"/>
    <mergeCell ref="J2:K2"/>
    <mergeCell ref="A13:B13"/>
    <mergeCell ref="D13:E13"/>
    <mergeCell ref="G13:H13"/>
    <mergeCell ref="J13:K13"/>
    <mergeCell ref="A30:B30"/>
    <mergeCell ref="D30:E30"/>
    <mergeCell ref="G30:H30"/>
    <mergeCell ref="J30:K30"/>
    <mergeCell ref="A41:B41"/>
    <mergeCell ref="D41:E41"/>
    <mergeCell ref="G41:H4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BFDD4962-9C00-4B0C-935C-8FA3EDD5B68A}">
  <ds:schemaRefs/>
</ds:datastoreItem>
</file>

<file path=customXml/itemProps2.xml><?xml version="1.0" encoding="utf-8"?>
<ds:datastoreItem xmlns:ds="http://schemas.openxmlformats.org/officeDocument/2006/customXml" ds:itemID="{4F63C955-556F-4B09-8612-81A1FF1915E5}">
  <ds:schemaRefs/>
</ds:datastoreItem>
</file>

<file path=customXml/itemProps3.xml><?xml version="1.0" encoding="utf-8"?>
<ds:datastoreItem xmlns:ds="http://schemas.openxmlformats.org/officeDocument/2006/customXml" ds:itemID="{8A966E30-85B1-4F42-908B-93107B21899E}">
  <ds:schemaRefs/>
</ds:datastoreItem>
</file>

<file path=customXml/itemProps4.xml><?xml version="1.0" encoding="utf-8"?>
<ds:datastoreItem xmlns:ds="http://schemas.openxmlformats.org/officeDocument/2006/customXml" ds:itemID="{7F21858C-1A91-4C4E-8A61-65989C50510D}">
  <ds:schemaRefs/>
</ds:datastoreItem>
</file>

<file path=customXml/itemProps5.xml><?xml version="1.0" encoding="utf-8"?>
<ds:datastoreItem xmlns:ds="http://schemas.openxmlformats.org/officeDocument/2006/customXml" ds:itemID="{BDE2F14B-2D71-45D2-851F-324ACFA58DEB}">
  <ds:schemaRefs>
    <ds:schemaRef ds:uri="http://schemas.microsoft.com/DataMashup"/>
  </ds:schemaRefs>
</ds:datastoreItem>
</file>

<file path=customXml/itemProps6.xml><?xml version="1.0" encoding="utf-8"?>
<ds:datastoreItem xmlns:ds="http://schemas.openxmlformats.org/officeDocument/2006/customXml" ds:itemID="{968BABEF-655A-4BB8-B3A4-3EDD69142F47}">
  <ds:schemaRefs/>
</ds:datastoreItem>
</file>

<file path=customXml/itemProps7.xml><?xml version="1.0" encoding="utf-8"?>
<ds:datastoreItem xmlns:ds="http://schemas.openxmlformats.org/officeDocument/2006/customXml" ds:itemID="{982463CA-3A4A-40C9-9276-C3D876759AF8}">
  <ds:schemaRefs/>
</ds:datastoreItem>
</file>

<file path=customXml/itemProps8.xml><?xml version="1.0" encoding="utf-8"?>
<ds:datastoreItem xmlns:ds="http://schemas.openxmlformats.org/officeDocument/2006/customXml" ds:itemID="{F21AAD6E-2DEA-43AE-B3CD-AB05E2183929}">
  <ds:schemaRefs/>
</ds:datastoreItem>
</file>

<file path=customXml/itemProps9.xml><?xml version="1.0" encoding="utf-8"?>
<ds:datastoreItem xmlns:ds="http://schemas.openxmlformats.org/officeDocument/2006/customXml" ds:itemID="{5E2AEB0F-F8AD-43B2-9A3B-435C23B23407}">
  <ds:schemaRefs/>
</ds:datastoreItem>
</file>

<file path=customXml/itemProps10.xml><?xml version="1.0" encoding="utf-8"?>
<ds:datastoreItem xmlns:ds="http://schemas.openxmlformats.org/officeDocument/2006/customXml" ds:itemID="{C3DF1F9D-0909-4170-A364-17EB2003214B}">
  <ds:schemaRefs/>
</ds:datastoreItem>
</file>

<file path=customXml/itemProps11.xml><?xml version="1.0" encoding="utf-8"?>
<ds:datastoreItem xmlns:ds="http://schemas.openxmlformats.org/officeDocument/2006/customXml" ds:itemID="{F3EBC85D-C838-4A1E-917E-794B84B2E1D0}">
  <ds:schemaRefs/>
</ds:datastoreItem>
</file>

<file path=customXml/itemProps12.xml><?xml version="1.0" encoding="utf-8"?>
<ds:datastoreItem xmlns:ds="http://schemas.openxmlformats.org/officeDocument/2006/customXml" ds:itemID="{293B8F8D-5690-42B7-B799-E95C592DAB1E}">
  <ds:schemaRefs/>
</ds:datastoreItem>
</file>

<file path=customXml/itemProps13.xml><?xml version="1.0" encoding="utf-8"?>
<ds:datastoreItem xmlns:ds="http://schemas.openxmlformats.org/officeDocument/2006/customXml" ds:itemID="{0648451C-53E6-449A-8F98-D1C0931A96E5}">
  <ds:schemaRefs/>
</ds:datastoreItem>
</file>

<file path=customXml/itemProps14.xml><?xml version="1.0" encoding="utf-8"?>
<ds:datastoreItem xmlns:ds="http://schemas.openxmlformats.org/officeDocument/2006/customXml" ds:itemID="{BDE70C76-1294-4E3A-90ED-46F49D6D0D3C}">
  <ds:schemaRefs/>
</ds:datastoreItem>
</file>

<file path=customXml/itemProps15.xml><?xml version="1.0" encoding="utf-8"?>
<ds:datastoreItem xmlns:ds="http://schemas.openxmlformats.org/officeDocument/2006/customXml" ds:itemID="{627A62D8-51C8-4327-ABD9-03C250EC421A}">
  <ds:schemaRefs/>
</ds:datastoreItem>
</file>

<file path=customXml/itemProps16.xml><?xml version="1.0" encoding="utf-8"?>
<ds:datastoreItem xmlns:ds="http://schemas.openxmlformats.org/officeDocument/2006/customXml" ds:itemID="{AD9B314C-30A5-46CD-ABB2-8E29E293AD9F}">
  <ds:schemaRefs/>
</ds:datastoreItem>
</file>

<file path=customXml/itemProps17.xml><?xml version="1.0" encoding="utf-8"?>
<ds:datastoreItem xmlns:ds="http://schemas.openxmlformats.org/officeDocument/2006/customXml" ds:itemID="{25BC708B-3B9C-457A-ABC4-A6526B52268D}">
  <ds:schemaRefs/>
</ds:datastoreItem>
</file>

<file path=customXml/itemProps18.xml><?xml version="1.0" encoding="utf-8"?>
<ds:datastoreItem xmlns:ds="http://schemas.openxmlformats.org/officeDocument/2006/customXml" ds:itemID="{5EA47DFC-2FEB-496D-B094-98AA46A8EF3E}">
  <ds:schemaRefs/>
</ds:datastoreItem>
</file>

<file path=customXml/itemProps19.xml><?xml version="1.0" encoding="utf-8"?>
<ds:datastoreItem xmlns:ds="http://schemas.openxmlformats.org/officeDocument/2006/customXml" ds:itemID="{12100531-D9B5-402A-9223-38090D0BB98B}">
  <ds:schemaRefs/>
</ds:datastoreItem>
</file>

<file path=customXml/itemProps20.xml><?xml version="1.0" encoding="utf-8"?>
<ds:datastoreItem xmlns:ds="http://schemas.openxmlformats.org/officeDocument/2006/customXml" ds:itemID="{F83CD45A-1F59-4B2D-A77C-EA6DC632C37B}">
  <ds:schemaRefs/>
</ds:datastoreItem>
</file>

<file path=customXml/itemProps21.xml><?xml version="1.0" encoding="utf-8"?>
<ds:datastoreItem xmlns:ds="http://schemas.openxmlformats.org/officeDocument/2006/customXml" ds:itemID="{00C56294-02F8-49C3-AAC3-6ED690F58C5B}">
  <ds:schemaRefs/>
</ds:datastoreItem>
</file>

<file path=customXml/itemProps22.xml><?xml version="1.0" encoding="utf-8"?>
<ds:datastoreItem xmlns:ds="http://schemas.openxmlformats.org/officeDocument/2006/customXml" ds:itemID="{3666CFFB-0FC1-4521-900C-FA45743365BE}">
  <ds:schemaRefs/>
</ds:datastoreItem>
</file>

<file path=customXml/itemProps23.xml><?xml version="1.0" encoding="utf-8"?>
<ds:datastoreItem xmlns:ds="http://schemas.openxmlformats.org/officeDocument/2006/customXml" ds:itemID="{D012FF23-B5FC-4A0E-83D2-7A3ED9073F07}">
  <ds:schemaRefs/>
</ds:datastoreItem>
</file>

<file path=customXml/itemProps24.xml><?xml version="1.0" encoding="utf-8"?>
<ds:datastoreItem xmlns:ds="http://schemas.openxmlformats.org/officeDocument/2006/customXml" ds:itemID="{CD0B3A67-1FC3-4B95-AFCD-AFE3AF3AA6CB}">
  <ds:schemaRefs/>
</ds:datastoreItem>
</file>

<file path=customXml/itemProps25.xml><?xml version="1.0" encoding="utf-8"?>
<ds:datastoreItem xmlns:ds="http://schemas.openxmlformats.org/officeDocument/2006/customXml" ds:itemID="{D0455775-1F4F-4918-B203-B2B470F14F5A}">
  <ds:schemaRefs/>
</ds:datastoreItem>
</file>

<file path=customXml/itemProps26.xml><?xml version="1.0" encoding="utf-8"?>
<ds:datastoreItem xmlns:ds="http://schemas.openxmlformats.org/officeDocument/2006/customXml" ds:itemID="{94D42CBC-749D-4849-A71D-9E7769BC4198}">
  <ds:schemaRefs/>
</ds:datastoreItem>
</file>

<file path=customXml/itemProps27.xml><?xml version="1.0" encoding="utf-8"?>
<ds:datastoreItem xmlns:ds="http://schemas.openxmlformats.org/officeDocument/2006/customXml" ds:itemID="{E111F10C-FF3B-44D2-9141-B4146B1D4FFB}">
  <ds:schemaRefs/>
</ds:datastoreItem>
</file>

<file path=customXml/itemProps28.xml><?xml version="1.0" encoding="utf-8"?>
<ds:datastoreItem xmlns:ds="http://schemas.openxmlformats.org/officeDocument/2006/customXml" ds:itemID="{32885ED0-E4D1-4172-AC58-3DB0D8D3E2C4}">
  <ds:schemaRefs/>
</ds:datastoreItem>
</file>

<file path=customXml/itemProps29.xml><?xml version="1.0" encoding="utf-8"?>
<ds:datastoreItem xmlns:ds="http://schemas.openxmlformats.org/officeDocument/2006/customXml" ds:itemID="{B159D2FC-4CD9-4761-B719-C657F7408173}">
  <ds:schemaRefs/>
</ds:datastoreItem>
</file>

<file path=customXml/itemProps30.xml><?xml version="1.0" encoding="utf-8"?>
<ds:datastoreItem xmlns:ds="http://schemas.openxmlformats.org/officeDocument/2006/customXml" ds:itemID="{A057ABB7-FB9E-42A3-9236-197D5C503453}">
  <ds:schemaRefs/>
</ds:datastoreItem>
</file>

<file path=customXml/itemProps31.xml><?xml version="1.0" encoding="utf-8"?>
<ds:datastoreItem xmlns:ds="http://schemas.openxmlformats.org/officeDocument/2006/customXml" ds:itemID="{6878A653-807B-4386-8D85-84D084F1B30D}">
  <ds:schemaRefs/>
</ds:datastoreItem>
</file>

<file path=customXml/itemProps32.xml><?xml version="1.0" encoding="utf-8"?>
<ds:datastoreItem xmlns:ds="http://schemas.openxmlformats.org/officeDocument/2006/customXml" ds:itemID="{52BC854C-1A9A-45A6-9AAC-52A395E74A0B}">
  <ds:schemaRefs/>
</ds:datastoreItem>
</file>

<file path=customXml/itemProps33.xml><?xml version="1.0" encoding="utf-8"?>
<ds:datastoreItem xmlns:ds="http://schemas.openxmlformats.org/officeDocument/2006/customXml" ds:itemID="{26214404-F794-484A-ACB5-AD7C3FE79D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Report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Sami Ullah</dc:creator>
  <cp:lastModifiedBy>Syed Sami Ullah</cp:lastModifiedBy>
  <dcterms:created xsi:type="dcterms:W3CDTF">2026-06-28T04:27:52Z</dcterms:created>
  <dcterms:modified xsi:type="dcterms:W3CDTF">2026-06-29T12:49:51Z</dcterms:modified>
</cp:coreProperties>
</file>